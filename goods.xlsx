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/>
  <mc:AlternateContent xmlns:mc="http://schemas.openxmlformats.org/markup-compatibility/2006">
    <mc:Choice Requires="x15">
      <x15ac:absPath xmlns:x15ac="http://schemas.microsoft.com/office/spreadsheetml/2010/11/ac" url="C:\dev\projects\test_go\server\"/>
    </mc:Choice>
  </mc:AlternateContent>
  <xr:revisionPtr revIDLastSave="0" documentId="13_ncr:1_{96F0974D-33B3-467A-9EBA-B7D72CDEEC02}" xr6:coauthVersionLast="45" xr6:coauthVersionMax="45" xr10:uidLastSave="{00000000-0000-0000-0000-000000000000}"/>
  <bookViews>
    <workbookView xWindow="-120" yWindow="-120" windowWidth="29040" windowHeight="17640" xr2:uid="{1368151F-E6A8-4BA4-8650-3D2975E95C20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81" i="1" l="1"/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2" i="1"/>
  <c r="I3" i="1"/>
  <c r="I4" i="1"/>
  <c r="I7" i="1"/>
  <c r="I19" i="1"/>
  <c r="I23" i="1"/>
  <c r="I31" i="1"/>
  <c r="I43" i="1"/>
  <c r="I55" i="1"/>
  <c r="I72" i="1"/>
  <c r="I75" i="1"/>
  <c r="I91" i="1"/>
  <c r="I107" i="1"/>
  <c r="I115" i="1"/>
  <c r="I127" i="1"/>
  <c r="H7" i="1"/>
  <c r="H19" i="1"/>
  <c r="H21" i="1"/>
  <c r="H22" i="1"/>
  <c r="H34" i="1"/>
  <c r="H43" i="1"/>
  <c r="H55" i="1"/>
  <c r="H79" i="1"/>
  <c r="H91" i="1"/>
  <c r="H106" i="1"/>
  <c r="H127" i="1"/>
  <c r="F7" i="1"/>
  <c r="F8" i="1"/>
  <c r="F11" i="1"/>
  <c r="F19" i="1"/>
  <c r="F20" i="1"/>
  <c r="F21" i="1"/>
  <c r="I21" i="1" s="1"/>
  <c r="F22" i="1"/>
  <c r="I22" i="1" s="1"/>
  <c r="F23" i="1"/>
  <c r="H23" i="1" s="1"/>
  <c r="F31" i="1"/>
  <c r="H31" i="1" s="1"/>
  <c r="F32" i="1"/>
  <c r="F33" i="1"/>
  <c r="F43" i="1"/>
  <c r="F55" i="1"/>
  <c r="F57" i="1"/>
  <c r="I57" i="1" s="1"/>
  <c r="F58" i="1"/>
  <c r="I58" i="1" s="1"/>
  <c r="F67" i="1"/>
  <c r="H67" i="1" s="1"/>
  <c r="F79" i="1"/>
  <c r="I79" i="1" s="1"/>
  <c r="F80" i="1"/>
  <c r="F91" i="1"/>
  <c r="F94" i="1"/>
  <c r="I94" i="1" s="1"/>
  <c r="F103" i="1"/>
  <c r="H103" i="1" s="1"/>
  <c r="F104" i="1"/>
  <c r="F115" i="1"/>
  <c r="H115" i="1" s="1"/>
  <c r="F116" i="1"/>
  <c r="F117" i="1"/>
  <c r="I117" i="1" s="1"/>
  <c r="F118" i="1"/>
  <c r="I118" i="1" s="1"/>
  <c r="F119" i="1"/>
  <c r="F127" i="1"/>
  <c r="F139" i="1"/>
  <c r="H139" i="1" s="1"/>
  <c r="F140" i="1"/>
  <c r="F141" i="1"/>
  <c r="G9" i="1"/>
  <c r="F9" i="1" s="1"/>
  <c r="G10" i="1"/>
  <c r="F10" i="1" s="1"/>
  <c r="G11" i="1"/>
  <c r="G21" i="1"/>
  <c r="G22" i="1"/>
  <c r="G24" i="1"/>
  <c r="F24" i="1" s="1"/>
  <c r="H24" i="1" s="1"/>
  <c r="G25" i="1"/>
  <c r="F25" i="1" s="1"/>
  <c r="G26" i="1"/>
  <c r="F26" i="1" s="1"/>
  <c r="G28" i="1"/>
  <c r="F28" i="1" s="1"/>
  <c r="I28" i="1" s="1"/>
  <c r="G33" i="1"/>
  <c r="G34" i="1"/>
  <c r="F34" i="1" s="1"/>
  <c r="I34" i="1" s="1"/>
  <c r="G44" i="1"/>
  <c r="F44" i="1" s="1"/>
  <c r="G45" i="1"/>
  <c r="F45" i="1" s="1"/>
  <c r="G46" i="1"/>
  <c r="F46" i="1" s="1"/>
  <c r="G47" i="1"/>
  <c r="F47" i="1" s="1"/>
  <c r="G48" i="1"/>
  <c r="F48" i="1" s="1"/>
  <c r="G49" i="1"/>
  <c r="F49" i="1" s="1"/>
  <c r="G57" i="1"/>
  <c r="G58" i="1"/>
  <c r="G68" i="1"/>
  <c r="F68" i="1" s="1"/>
  <c r="G69" i="1"/>
  <c r="F69" i="1" s="1"/>
  <c r="G70" i="1"/>
  <c r="F70" i="1" s="1"/>
  <c r="I70" i="1" s="1"/>
  <c r="G80" i="1"/>
  <c r="G81" i="1"/>
  <c r="F81" i="1" s="1"/>
  <c r="I81" i="1" s="1"/>
  <c r="G82" i="1"/>
  <c r="F82" i="1" s="1"/>
  <c r="G83" i="1"/>
  <c r="F83" i="1" s="1"/>
  <c r="G84" i="1"/>
  <c r="F84" i="1" s="1"/>
  <c r="G92" i="1"/>
  <c r="F92" i="1" s="1"/>
  <c r="G93" i="1"/>
  <c r="F93" i="1" s="1"/>
  <c r="G94" i="1"/>
  <c r="G106" i="1"/>
  <c r="F106" i="1" s="1"/>
  <c r="I106" i="1" s="1"/>
  <c r="G107" i="1"/>
  <c r="F107" i="1" s="1"/>
  <c r="H107" i="1" s="1"/>
  <c r="G108" i="1"/>
  <c r="F108" i="1" s="1"/>
  <c r="H108" i="1" s="1"/>
  <c r="G109" i="1"/>
  <c r="F109" i="1" s="1"/>
  <c r="H109" i="1" s="1"/>
  <c r="G110" i="1"/>
  <c r="F110" i="1" s="1"/>
  <c r="G116" i="1"/>
  <c r="G117" i="1"/>
  <c r="G118" i="1"/>
  <c r="G128" i="1"/>
  <c r="F128" i="1" s="1"/>
  <c r="G129" i="1"/>
  <c r="F129" i="1" s="1"/>
  <c r="G130" i="1"/>
  <c r="F130" i="1" s="1"/>
  <c r="G131" i="1"/>
  <c r="F131" i="1" s="1"/>
  <c r="G140" i="1"/>
  <c r="G141" i="1"/>
  <c r="G142" i="1"/>
  <c r="F142" i="1" s="1"/>
  <c r="I142" i="1" s="1"/>
  <c r="G2" i="1"/>
  <c r="F2" i="1" s="1"/>
  <c r="H2" i="1" s="1"/>
  <c r="E3" i="1"/>
  <c r="G3" i="1" s="1"/>
  <c r="F3" i="1" s="1"/>
  <c r="H3" i="1" s="1"/>
  <c r="E4" i="1"/>
  <c r="G4" i="1" s="1"/>
  <c r="F4" i="1" s="1"/>
  <c r="H4" i="1" s="1"/>
  <c r="E5" i="1"/>
  <c r="G5" i="1" s="1"/>
  <c r="F5" i="1" s="1"/>
  <c r="E6" i="1"/>
  <c r="G6" i="1" s="1"/>
  <c r="F6" i="1" s="1"/>
  <c r="E7" i="1"/>
  <c r="G7" i="1" s="1"/>
  <c r="E8" i="1"/>
  <c r="G8" i="1" s="1"/>
  <c r="E9" i="1"/>
  <c r="E10" i="1"/>
  <c r="E11" i="1"/>
  <c r="E12" i="1"/>
  <c r="G12" i="1" s="1"/>
  <c r="F12" i="1" s="1"/>
  <c r="E13" i="1"/>
  <c r="G13" i="1" s="1"/>
  <c r="F13" i="1" s="1"/>
  <c r="E14" i="1"/>
  <c r="G14" i="1" s="1"/>
  <c r="F14" i="1" s="1"/>
  <c r="E15" i="1"/>
  <c r="G15" i="1" s="1"/>
  <c r="F15" i="1" s="1"/>
  <c r="H15" i="1" s="1"/>
  <c r="E16" i="1"/>
  <c r="G16" i="1" s="1"/>
  <c r="F16" i="1" s="1"/>
  <c r="E17" i="1"/>
  <c r="G17" i="1" s="1"/>
  <c r="F17" i="1" s="1"/>
  <c r="E18" i="1"/>
  <c r="G18" i="1" s="1"/>
  <c r="F18" i="1" s="1"/>
  <c r="H18" i="1" s="1"/>
  <c r="E19" i="1"/>
  <c r="G19" i="1" s="1"/>
  <c r="E20" i="1"/>
  <c r="G20" i="1" s="1"/>
  <c r="E21" i="1"/>
  <c r="E22" i="1"/>
  <c r="E23" i="1"/>
  <c r="G23" i="1" s="1"/>
  <c r="E24" i="1"/>
  <c r="E25" i="1"/>
  <c r="E26" i="1"/>
  <c r="E27" i="1"/>
  <c r="G27" i="1" s="1"/>
  <c r="F27" i="1" s="1"/>
  <c r="I27" i="1" s="1"/>
  <c r="E28" i="1"/>
  <c r="E29" i="1"/>
  <c r="G29" i="1" s="1"/>
  <c r="F29" i="1" s="1"/>
  <c r="E30" i="1"/>
  <c r="G30" i="1" s="1"/>
  <c r="F30" i="1" s="1"/>
  <c r="E31" i="1"/>
  <c r="G31" i="1" s="1"/>
  <c r="E32" i="1"/>
  <c r="G32" i="1" s="1"/>
  <c r="E33" i="1"/>
  <c r="E34" i="1"/>
  <c r="E35" i="1"/>
  <c r="G35" i="1" s="1"/>
  <c r="F35" i="1" s="1"/>
  <c r="E36" i="1"/>
  <c r="G36" i="1" s="1"/>
  <c r="F36" i="1" s="1"/>
  <c r="E37" i="1"/>
  <c r="G37" i="1" s="1"/>
  <c r="F37" i="1" s="1"/>
  <c r="H37" i="1" s="1"/>
  <c r="E38" i="1"/>
  <c r="G38" i="1" s="1"/>
  <c r="F38" i="1" s="1"/>
  <c r="E39" i="1"/>
  <c r="G39" i="1" s="1"/>
  <c r="F39" i="1" s="1"/>
  <c r="H39" i="1" s="1"/>
  <c r="E40" i="1"/>
  <c r="G40" i="1" s="1"/>
  <c r="F40" i="1" s="1"/>
  <c r="H40" i="1" s="1"/>
  <c r="E41" i="1"/>
  <c r="G41" i="1" s="1"/>
  <c r="F41" i="1" s="1"/>
  <c r="E42" i="1"/>
  <c r="G42" i="1" s="1"/>
  <c r="F42" i="1" s="1"/>
  <c r="E43" i="1"/>
  <c r="G43" i="1" s="1"/>
  <c r="E44" i="1"/>
  <c r="E45" i="1"/>
  <c r="E46" i="1"/>
  <c r="E47" i="1"/>
  <c r="E48" i="1"/>
  <c r="E49" i="1"/>
  <c r="E50" i="1"/>
  <c r="G50" i="1" s="1"/>
  <c r="F50" i="1" s="1"/>
  <c r="E51" i="1"/>
  <c r="G51" i="1" s="1"/>
  <c r="F51" i="1" s="1"/>
  <c r="H51" i="1" s="1"/>
  <c r="E52" i="1"/>
  <c r="G52" i="1" s="1"/>
  <c r="F52" i="1" s="1"/>
  <c r="E53" i="1"/>
  <c r="G53" i="1" s="1"/>
  <c r="F53" i="1" s="1"/>
  <c r="I53" i="1" s="1"/>
  <c r="E54" i="1"/>
  <c r="G54" i="1" s="1"/>
  <c r="F54" i="1" s="1"/>
  <c r="H54" i="1" s="1"/>
  <c r="E55" i="1"/>
  <c r="G55" i="1" s="1"/>
  <c r="E56" i="1"/>
  <c r="G56" i="1" s="1"/>
  <c r="F56" i="1" s="1"/>
  <c r="E57" i="1"/>
  <c r="E58" i="1"/>
  <c r="E59" i="1"/>
  <c r="G59" i="1" s="1"/>
  <c r="F59" i="1" s="1"/>
  <c r="E60" i="1"/>
  <c r="G60" i="1" s="1"/>
  <c r="F60" i="1" s="1"/>
  <c r="E61" i="1"/>
  <c r="G61" i="1" s="1"/>
  <c r="F61" i="1" s="1"/>
  <c r="E62" i="1"/>
  <c r="G62" i="1" s="1"/>
  <c r="F62" i="1" s="1"/>
  <c r="E63" i="1"/>
  <c r="G63" i="1" s="1"/>
  <c r="F63" i="1" s="1"/>
  <c r="I63" i="1" s="1"/>
  <c r="E64" i="1"/>
  <c r="G64" i="1" s="1"/>
  <c r="F64" i="1" s="1"/>
  <c r="E65" i="1"/>
  <c r="G65" i="1" s="1"/>
  <c r="F65" i="1" s="1"/>
  <c r="E66" i="1"/>
  <c r="G66" i="1" s="1"/>
  <c r="F66" i="1" s="1"/>
  <c r="E67" i="1"/>
  <c r="G67" i="1" s="1"/>
  <c r="E68" i="1"/>
  <c r="E69" i="1"/>
  <c r="E70" i="1"/>
  <c r="E71" i="1"/>
  <c r="G71" i="1" s="1"/>
  <c r="F71" i="1" s="1"/>
  <c r="H71" i="1" s="1"/>
  <c r="E72" i="1"/>
  <c r="G72" i="1" s="1"/>
  <c r="F72" i="1" s="1"/>
  <c r="H72" i="1" s="1"/>
  <c r="E73" i="1"/>
  <c r="G73" i="1" s="1"/>
  <c r="F73" i="1" s="1"/>
  <c r="E74" i="1"/>
  <c r="G74" i="1" s="1"/>
  <c r="F74" i="1" s="1"/>
  <c r="E75" i="1"/>
  <c r="G75" i="1" s="1"/>
  <c r="F75" i="1" s="1"/>
  <c r="H75" i="1" s="1"/>
  <c r="E76" i="1"/>
  <c r="G76" i="1" s="1"/>
  <c r="F76" i="1" s="1"/>
  <c r="E77" i="1"/>
  <c r="G77" i="1" s="1"/>
  <c r="F77" i="1" s="1"/>
  <c r="E78" i="1"/>
  <c r="G78" i="1" s="1"/>
  <c r="F78" i="1" s="1"/>
  <c r="E79" i="1"/>
  <c r="G79" i="1" s="1"/>
  <c r="E80" i="1"/>
  <c r="E82" i="1"/>
  <c r="E83" i="1"/>
  <c r="E84" i="1"/>
  <c r="E85" i="1"/>
  <c r="G85" i="1" s="1"/>
  <c r="F85" i="1" s="1"/>
  <c r="E86" i="1"/>
  <c r="G86" i="1" s="1"/>
  <c r="F86" i="1" s="1"/>
  <c r="E87" i="1"/>
  <c r="G87" i="1" s="1"/>
  <c r="F87" i="1" s="1"/>
  <c r="H87" i="1" s="1"/>
  <c r="E88" i="1"/>
  <c r="G88" i="1" s="1"/>
  <c r="F88" i="1" s="1"/>
  <c r="H88" i="1" s="1"/>
  <c r="E89" i="1"/>
  <c r="G89" i="1" s="1"/>
  <c r="F89" i="1" s="1"/>
  <c r="E90" i="1"/>
  <c r="G90" i="1" s="1"/>
  <c r="F90" i="1" s="1"/>
  <c r="H90" i="1" s="1"/>
  <c r="E91" i="1"/>
  <c r="G91" i="1" s="1"/>
  <c r="E92" i="1"/>
  <c r="E93" i="1"/>
  <c r="E94" i="1"/>
  <c r="E95" i="1"/>
  <c r="G95" i="1" s="1"/>
  <c r="F95" i="1" s="1"/>
  <c r="E96" i="1"/>
  <c r="G96" i="1" s="1"/>
  <c r="F96" i="1" s="1"/>
  <c r="E97" i="1"/>
  <c r="G97" i="1" s="1"/>
  <c r="F97" i="1" s="1"/>
  <c r="E98" i="1"/>
  <c r="G98" i="1" s="1"/>
  <c r="F98" i="1" s="1"/>
  <c r="E99" i="1"/>
  <c r="G99" i="1" s="1"/>
  <c r="F99" i="1" s="1"/>
  <c r="I99" i="1" s="1"/>
  <c r="E100" i="1"/>
  <c r="G100" i="1" s="1"/>
  <c r="F100" i="1" s="1"/>
  <c r="E101" i="1"/>
  <c r="G101" i="1" s="1"/>
  <c r="F101" i="1" s="1"/>
  <c r="I101" i="1" s="1"/>
  <c r="E102" i="1"/>
  <c r="G102" i="1" s="1"/>
  <c r="F102" i="1" s="1"/>
  <c r="E103" i="1"/>
  <c r="G103" i="1" s="1"/>
  <c r="E104" i="1"/>
  <c r="G104" i="1" s="1"/>
  <c r="E105" i="1"/>
  <c r="G105" i="1" s="1"/>
  <c r="F105" i="1" s="1"/>
  <c r="E106" i="1"/>
  <c r="E107" i="1"/>
  <c r="E108" i="1"/>
  <c r="E109" i="1"/>
  <c r="E110" i="1"/>
  <c r="E111" i="1"/>
  <c r="G111" i="1" s="1"/>
  <c r="F111" i="1" s="1"/>
  <c r="H111" i="1" s="1"/>
  <c r="E112" i="1"/>
  <c r="G112" i="1" s="1"/>
  <c r="F112" i="1" s="1"/>
  <c r="E113" i="1"/>
  <c r="G113" i="1" s="1"/>
  <c r="F113" i="1" s="1"/>
  <c r="E114" i="1"/>
  <c r="G114" i="1" s="1"/>
  <c r="F114" i="1" s="1"/>
  <c r="E115" i="1"/>
  <c r="G115" i="1" s="1"/>
  <c r="E116" i="1"/>
  <c r="E117" i="1"/>
  <c r="E118" i="1"/>
  <c r="E119" i="1"/>
  <c r="G119" i="1" s="1"/>
  <c r="E120" i="1"/>
  <c r="G120" i="1" s="1"/>
  <c r="F120" i="1" s="1"/>
  <c r="E121" i="1"/>
  <c r="G121" i="1" s="1"/>
  <c r="F121" i="1" s="1"/>
  <c r="E122" i="1"/>
  <c r="G122" i="1" s="1"/>
  <c r="F122" i="1" s="1"/>
  <c r="E123" i="1"/>
  <c r="G123" i="1" s="1"/>
  <c r="F123" i="1" s="1"/>
  <c r="H123" i="1" s="1"/>
  <c r="E124" i="1"/>
  <c r="G124" i="1" s="1"/>
  <c r="F124" i="1" s="1"/>
  <c r="E125" i="1"/>
  <c r="G125" i="1" s="1"/>
  <c r="F125" i="1" s="1"/>
  <c r="E126" i="1"/>
  <c r="G126" i="1" s="1"/>
  <c r="F126" i="1" s="1"/>
  <c r="H126" i="1" s="1"/>
  <c r="E127" i="1"/>
  <c r="G127" i="1" s="1"/>
  <c r="E128" i="1"/>
  <c r="E129" i="1"/>
  <c r="E130" i="1"/>
  <c r="E131" i="1"/>
  <c r="E132" i="1"/>
  <c r="G132" i="1" s="1"/>
  <c r="F132" i="1" s="1"/>
  <c r="E133" i="1"/>
  <c r="G133" i="1" s="1"/>
  <c r="F133" i="1" s="1"/>
  <c r="E134" i="1"/>
  <c r="G134" i="1" s="1"/>
  <c r="F134" i="1" s="1"/>
  <c r="E135" i="1"/>
  <c r="G135" i="1" s="1"/>
  <c r="F135" i="1" s="1"/>
  <c r="I135" i="1" s="1"/>
  <c r="E136" i="1"/>
  <c r="G136" i="1" s="1"/>
  <c r="F136" i="1" s="1"/>
  <c r="E137" i="1"/>
  <c r="G137" i="1" s="1"/>
  <c r="F137" i="1" s="1"/>
  <c r="E138" i="1"/>
  <c r="G138" i="1" s="1"/>
  <c r="F138" i="1" s="1"/>
  <c r="E139" i="1"/>
  <c r="G139" i="1" s="1"/>
  <c r="E140" i="1"/>
  <c r="E141" i="1"/>
  <c r="E142" i="1"/>
  <c r="E2" i="1"/>
  <c r="H49" i="1" l="1"/>
  <c r="I49" i="1"/>
  <c r="I78" i="1"/>
  <c r="H78" i="1"/>
  <c r="H30" i="1"/>
  <c r="I30" i="1"/>
  <c r="H83" i="1"/>
  <c r="I83" i="1"/>
  <c r="I113" i="1"/>
  <c r="H113" i="1"/>
  <c r="I77" i="1"/>
  <c r="H77" i="1"/>
  <c r="I29" i="1"/>
  <c r="H29" i="1"/>
  <c r="I9" i="1"/>
  <c r="H9" i="1"/>
  <c r="I136" i="1"/>
  <c r="H136" i="1"/>
  <c r="I100" i="1"/>
  <c r="H100" i="1"/>
  <c r="H52" i="1"/>
  <c r="I52" i="1"/>
  <c r="H98" i="1"/>
  <c r="I98" i="1"/>
  <c r="H62" i="1"/>
  <c r="I62" i="1"/>
  <c r="H38" i="1"/>
  <c r="I38" i="1"/>
  <c r="H133" i="1"/>
  <c r="I133" i="1"/>
  <c r="H85" i="1"/>
  <c r="I85" i="1"/>
  <c r="H61" i="1"/>
  <c r="I61" i="1"/>
  <c r="H13" i="1"/>
  <c r="I13" i="1"/>
  <c r="I69" i="1"/>
  <c r="H69" i="1"/>
  <c r="I105" i="1"/>
  <c r="H105" i="1"/>
  <c r="I130" i="1"/>
  <c r="H130" i="1"/>
  <c r="H47" i="1"/>
  <c r="I47" i="1"/>
  <c r="H114" i="1"/>
  <c r="I114" i="1"/>
  <c r="H66" i="1"/>
  <c r="I66" i="1"/>
  <c r="H42" i="1"/>
  <c r="I42" i="1"/>
  <c r="H6" i="1"/>
  <c r="I6" i="1"/>
  <c r="I46" i="1"/>
  <c r="H46" i="1"/>
  <c r="I137" i="1"/>
  <c r="H137" i="1"/>
  <c r="I89" i="1"/>
  <c r="H89" i="1"/>
  <c r="I41" i="1"/>
  <c r="H41" i="1"/>
  <c r="I5" i="1"/>
  <c r="H5" i="1"/>
  <c r="I82" i="1"/>
  <c r="H82" i="1"/>
  <c r="H112" i="1"/>
  <c r="I112" i="1"/>
  <c r="I64" i="1"/>
  <c r="H64" i="1"/>
  <c r="H16" i="1"/>
  <c r="I16" i="1"/>
  <c r="H122" i="1"/>
  <c r="I122" i="1"/>
  <c r="I74" i="1"/>
  <c r="H74" i="1"/>
  <c r="H14" i="1"/>
  <c r="I14" i="1"/>
  <c r="H97" i="1"/>
  <c r="I97" i="1"/>
  <c r="H132" i="1"/>
  <c r="I132" i="1"/>
  <c r="H60" i="1"/>
  <c r="I60" i="1"/>
  <c r="H36" i="1"/>
  <c r="I36" i="1"/>
  <c r="H12" i="1"/>
  <c r="I12" i="1"/>
  <c r="H68" i="1"/>
  <c r="I68" i="1"/>
  <c r="H26" i="1"/>
  <c r="I26" i="1"/>
  <c r="H131" i="1"/>
  <c r="I131" i="1"/>
  <c r="I93" i="1"/>
  <c r="H93" i="1"/>
  <c r="I129" i="1"/>
  <c r="H129" i="1"/>
  <c r="H138" i="1"/>
  <c r="I138" i="1"/>
  <c r="H102" i="1"/>
  <c r="I102" i="1"/>
  <c r="I10" i="1"/>
  <c r="H10" i="1"/>
  <c r="I125" i="1"/>
  <c r="H125" i="1"/>
  <c r="I65" i="1"/>
  <c r="H65" i="1"/>
  <c r="I17" i="1"/>
  <c r="H17" i="1"/>
  <c r="I45" i="1"/>
  <c r="H45" i="1"/>
  <c r="H124" i="1"/>
  <c r="I124" i="1"/>
  <c r="I76" i="1"/>
  <c r="H76" i="1"/>
  <c r="H44" i="1"/>
  <c r="I44" i="1"/>
  <c r="I110" i="1"/>
  <c r="H110" i="1"/>
  <c r="H134" i="1"/>
  <c r="I134" i="1"/>
  <c r="H86" i="1"/>
  <c r="I86" i="1"/>
  <c r="H50" i="1"/>
  <c r="I50" i="1"/>
  <c r="H121" i="1"/>
  <c r="I121" i="1"/>
  <c r="H73" i="1"/>
  <c r="I73" i="1"/>
  <c r="H96" i="1"/>
  <c r="I96" i="1"/>
  <c r="H95" i="1"/>
  <c r="I95" i="1"/>
  <c r="H59" i="1"/>
  <c r="I59" i="1"/>
  <c r="H35" i="1"/>
  <c r="I35" i="1"/>
  <c r="H25" i="1"/>
  <c r="I25" i="1"/>
  <c r="H92" i="1"/>
  <c r="I92" i="1"/>
  <c r="H58" i="1"/>
  <c r="H80" i="1"/>
  <c r="I80" i="1"/>
  <c r="H11" i="1"/>
  <c r="I11" i="1"/>
  <c r="I54" i="1"/>
  <c r="H119" i="1"/>
  <c r="I119" i="1"/>
  <c r="I123" i="1"/>
  <c r="H27" i="1"/>
  <c r="H116" i="1"/>
  <c r="I116" i="1"/>
  <c r="H117" i="1"/>
  <c r="H94" i="1"/>
  <c r="I2" i="1"/>
  <c r="I71" i="1"/>
  <c r="I33" i="1"/>
  <c r="H33" i="1"/>
  <c r="H81" i="1"/>
  <c r="H32" i="1"/>
  <c r="I32" i="1"/>
  <c r="I126" i="1"/>
  <c r="H128" i="1"/>
  <c r="I128" i="1"/>
  <c r="H101" i="1"/>
  <c r="I51" i="1"/>
  <c r="H140" i="1"/>
  <c r="I140" i="1"/>
  <c r="H8" i="1"/>
  <c r="I8" i="1"/>
  <c r="H99" i="1"/>
  <c r="H53" i="1"/>
  <c r="I24" i="1"/>
  <c r="H118" i="1"/>
  <c r="H120" i="1"/>
  <c r="I120" i="1"/>
  <c r="I139" i="1"/>
  <c r="I90" i="1"/>
  <c r="I67" i="1"/>
  <c r="I18" i="1"/>
  <c r="I87" i="1"/>
  <c r="H48" i="1"/>
  <c r="I48" i="1"/>
  <c r="H57" i="1"/>
  <c r="I103" i="1"/>
  <c r="H84" i="1"/>
  <c r="I84" i="1"/>
  <c r="I141" i="1"/>
  <c r="H141" i="1"/>
  <c r="H28" i="1"/>
  <c r="H142" i="1"/>
  <c r="H70" i="1"/>
  <c r="I40" i="1"/>
  <c r="I111" i="1"/>
  <c r="I88" i="1"/>
  <c r="I39" i="1"/>
  <c r="I15" i="1"/>
  <c r="H56" i="1"/>
  <c r="I56" i="1"/>
  <c r="H135" i="1"/>
  <c r="H63" i="1"/>
  <c r="I109" i="1"/>
  <c r="I37" i="1"/>
  <c r="H104" i="1"/>
  <c r="I104" i="1"/>
  <c r="I108" i="1"/>
  <c r="H20" i="1"/>
  <c r="I20" i="1"/>
</calcChain>
</file>

<file path=xl/sharedStrings.xml><?xml version="1.0" encoding="utf-8"?>
<sst xmlns="http://schemas.openxmlformats.org/spreadsheetml/2006/main" count="299" uniqueCount="160">
  <si>
    <t>Наименование</t>
  </si>
  <si>
    <t>Ед.изм</t>
  </si>
  <si>
    <t>Аленка 15г (кор * 294 шт)</t>
  </si>
  <si>
    <t>шт</t>
  </si>
  <si>
    <t>МакКофе 50 пак (кор * 20 ул)</t>
  </si>
  <si>
    <t>МакКофе 10 пак (кор * 25 ул)</t>
  </si>
  <si>
    <t>Нескафе ГОЛД 190г стекло +</t>
  </si>
  <si>
    <t>Бат БАУНТИ Трис 82г (66л * 24шт) 144цпт</t>
  </si>
  <si>
    <t>Бат БАУНТИ 50г (66л * 32шт) 192цпт</t>
  </si>
  <si>
    <t>Бат ТВИКС 50г (66л * 40шт) 240цпт</t>
  </si>
  <si>
    <t>Нескафе ГОЛД 95г +</t>
  </si>
  <si>
    <t>МакКофе 100 пак (кор * 10 ул)</t>
  </si>
  <si>
    <t>Бат СНИКЕРС супер 95г (46л * 32шт) 11цпт</t>
  </si>
  <si>
    <t>Черная Карта 47г стекло</t>
  </si>
  <si>
    <t>Бат ТВИКС Экстра 82г (66л * 24шт) 144цпт</t>
  </si>
  <si>
    <t>ГУК Крекер 100г (кор * 24шт)</t>
  </si>
  <si>
    <t>Беби Фокс 47г * 30шт</t>
  </si>
  <si>
    <t>Лапша Доширак 90г 24цпт</t>
  </si>
  <si>
    <t>Аленка 90г * 90шт</t>
  </si>
  <si>
    <t>МакКофе 10 пак (кор * 50 ул)</t>
  </si>
  <si>
    <t>НУРИ 25 пак Высокогорн (кор * 18шт)</t>
  </si>
  <si>
    <t>Бат Кит Кат 40г * 240цпт</t>
  </si>
  <si>
    <t>Нутелла Т 350г * 15шт</t>
  </si>
  <si>
    <t>Армянский РОЯЛЬ (5 ул * 30шт)</t>
  </si>
  <si>
    <t>МИЛКА молочный 90г * 20шт</t>
  </si>
  <si>
    <t>ТОРАБИКА 20 пак (кор * 12 ул)</t>
  </si>
  <si>
    <t>Киндер Яйцо (кор * 36 шт)</t>
  </si>
  <si>
    <t>Черная Карта 95г * 6шт</t>
  </si>
  <si>
    <t>Аленка 200г (кор * 18 шт)</t>
  </si>
  <si>
    <t>ОРЕО Печенье 95г (кор * 28шт)</t>
  </si>
  <si>
    <t>Чоко Бой Орион 45г (кор * 30 шт)</t>
  </si>
  <si>
    <t>Якобс Монарх 95г стекло</t>
  </si>
  <si>
    <t>Бат НАТС 50г (5л * 30шт)</t>
  </si>
  <si>
    <t>Гринфилд 25 пак Цейлон (кор * 10 шт) * 1шт</t>
  </si>
  <si>
    <t>МакКофе 25 пак (кор * 40 ул)</t>
  </si>
  <si>
    <t>Якобс Монарх 47г стекло</t>
  </si>
  <si>
    <t>Шок КИНДЕР 50г (8 бл * 20 шт)</t>
  </si>
  <si>
    <t>Альпен Гольд Фундук 100г * 21шт</t>
  </si>
  <si>
    <t>Бат Милия Уей 28г (6 * 38шт) 216цпт</t>
  </si>
  <si>
    <t>Бат ПИКНИК 38г * 35шт</t>
  </si>
  <si>
    <t>ДИРОЛ 30шт * 24 бл</t>
  </si>
  <si>
    <t>МИЛКА цеп. Фундук 90г * 19шт</t>
  </si>
  <si>
    <t>Альпен Гольд 90г Ассорти (кор * 21)</t>
  </si>
  <si>
    <t>Якобс ВЕЛЮР 95г стекло</t>
  </si>
  <si>
    <t>Ричард 25 пак Цейлон (кор * 12шт)</t>
  </si>
  <si>
    <t>Гринфилд 100 пак Цейлон (кор * 9шт)</t>
  </si>
  <si>
    <t>Милка ОРЕО 100г * 22шт</t>
  </si>
  <si>
    <t>Мальтизерс 37г * 25шт</t>
  </si>
  <si>
    <t>Якобс Миликано 95г стекло</t>
  </si>
  <si>
    <t>МК 100г * 60шт</t>
  </si>
  <si>
    <t>МИЛКА Изом Фундук 95г * 20шт</t>
  </si>
  <si>
    <t>МИЛКА др. Фундук 95г * 20шт</t>
  </si>
  <si>
    <t>Адреналин 0,5л ж/б Уп * 12 шт</t>
  </si>
  <si>
    <t>Акбар 25 пак цейлон (кор * 15 шт)</t>
  </si>
  <si>
    <t>АРАБИКА 95г (кор * 9шт)</t>
  </si>
  <si>
    <t>Липтон 25 пак * 36 шт</t>
  </si>
  <si>
    <t>ДИРОЛ Штучный (16 ул * 100)</t>
  </si>
  <si>
    <t>какао ФУНТИК 25ул * 20 шт</t>
  </si>
  <si>
    <t>Суаре 95г * 8шт</t>
  </si>
  <si>
    <t>Чоко ПАЙ 180г * 16шт</t>
  </si>
  <si>
    <t>Мехиед Эфенди мол 100г * 25шт</t>
  </si>
  <si>
    <t>Альпен Гольд 90г молочный * 22шт</t>
  </si>
  <si>
    <t>Альпен Гольд 90г ОРЕО * 19шт</t>
  </si>
  <si>
    <t>Милка ЛУ 90г * 18шт</t>
  </si>
  <si>
    <t>Нескафе ГОЛД 500 г (кор * 12шт)</t>
  </si>
  <si>
    <t>Барила Ритате 450г * 14шт</t>
  </si>
  <si>
    <t>Азернай 100 пак (кор * 6шт)</t>
  </si>
  <si>
    <t>Коломбо 95г * 8шт</t>
  </si>
  <si>
    <t>Азернай 25 пак без 12 шт</t>
  </si>
  <si>
    <t>БУШИДО 100г (упак * 9шт) Оригинал</t>
  </si>
  <si>
    <t>Нутелла Т 180г * 8 шт</t>
  </si>
  <si>
    <t>Азернай 25 пак Конверт (кор * 24шт)</t>
  </si>
  <si>
    <t>Рафаэлло 150г (кор. * 6 ул)</t>
  </si>
  <si>
    <t>упак</t>
  </si>
  <si>
    <t>Биг ЛАНЧ 90г * 24шт</t>
  </si>
  <si>
    <t>Свт Малки УЕЙ 50г (66л * 18шт) 108шт</t>
  </si>
  <si>
    <t>ОРЕО печенье 38г * 108шт</t>
  </si>
  <si>
    <t>Гринфила 25 пак Бергамот (кор. * 10 шт)</t>
  </si>
  <si>
    <t>Мерем Конфет 250г * 10шт</t>
  </si>
  <si>
    <t>Альпен Гольд Ижом Фуид 90г * 21шт</t>
  </si>
  <si>
    <t>Амбассадор ЭЛИТ Платин 95г * 6шт</t>
  </si>
  <si>
    <t>Воздушный 85г * 20шт</t>
  </si>
  <si>
    <t>ЖАРДИН 95г (Уп * 12 шт) золото</t>
  </si>
  <si>
    <t>ПОДДОН</t>
  </si>
  <si>
    <t>Принцесса ЯВА 25л * 18шт</t>
  </si>
  <si>
    <t>ХАН ЧАЙ 30 пак (кор. * 30 ул)</t>
  </si>
  <si>
    <t>Милка мел. Милкаль 90г * 20шт</t>
  </si>
  <si>
    <t>ЧИБО Голд 95г * 6шт</t>
  </si>
  <si>
    <t>Азернай 100г (кор. * 12шт) заварной</t>
  </si>
  <si>
    <t>Ахмад черный 25 пак (кор. * 12шт)</t>
  </si>
  <si>
    <t>ЖАРДИН 95г (Уп * 12 шт) -3,4,5</t>
  </si>
  <si>
    <t>Липтон 100 пак (кор. * 24 шт)</t>
  </si>
  <si>
    <t>Якобс Монарх + Кружая 60г * 6шт</t>
  </si>
  <si>
    <t>Воздушный Белый 85г * 20шт</t>
  </si>
  <si>
    <t>М 8 м шоколад 60г * 28шт</t>
  </si>
  <si>
    <t>Эльгрессор 100 пак (кор. * 6ул)</t>
  </si>
  <si>
    <t>Кертис 20 пак (кор. * 12шт)</t>
  </si>
  <si>
    <t>НУРИ 100 пак высокого (кор. * 18шт)</t>
  </si>
  <si>
    <t>Тесс черный 25 пак * 10шт</t>
  </si>
  <si>
    <t>Пастероин Ригат 200г * 12шт</t>
  </si>
  <si>
    <t>Какао Мико Фикс 300г * 12шт</t>
  </si>
  <si>
    <t>Мерса Конфет 400г * 8шт</t>
  </si>
  <si>
    <t>СКИТПС 38г (12 бл * 12 шт)</t>
  </si>
  <si>
    <t>блок</t>
  </si>
  <si>
    <t>Акбар 100 пак (кор. * 6шт)</t>
  </si>
  <si>
    <t>БАРНИ 150г * 20 ул</t>
  </si>
  <si>
    <t>Клидер Джой кор. * 24шт</t>
  </si>
  <si>
    <t>Какао Золотой Ярлык 100г * 12шт</t>
  </si>
  <si>
    <t>Якобс Монарх 200г м/у (кор. * 6 шт)</t>
  </si>
  <si>
    <t>Кертис черный * 8шт 100 пак</t>
  </si>
  <si>
    <t>ОреО печенье 226г (кор. * 12шт)</t>
  </si>
  <si>
    <t>Черная Карта 190г стекло</t>
  </si>
  <si>
    <t>Бариста ГОЛД 95г стекло</t>
  </si>
  <si>
    <t>Ментос (12 бл * 24шт) жев. рез</t>
  </si>
  <si>
    <t>Барина Фузили 450г * 12шт</t>
  </si>
  <si>
    <t>Детский ОРБИТ 156л * 20шт</t>
  </si>
  <si>
    <t>Амбассадор Элит Платин 190г * 6шт</t>
  </si>
  <si>
    <t>Якобс Кремя 85г * 6шт</t>
  </si>
  <si>
    <t>ПРИНГЛЬ 185г * 19шт</t>
  </si>
  <si>
    <t>БУШИДО 100г Кодо (упак * 9шт)</t>
  </si>
  <si>
    <t>Гринфила 25 пак Мелисса (кор. * 10 шт)</t>
  </si>
  <si>
    <t>Гринфила 25 пак Малина (кор. * 10 шт)</t>
  </si>
  <si>
    <t>Нескафе ГОЛД 47г стекло</t>
  </si>
  <si>
    <t>Жев. рез. LOVE 15 (кор. * 20 бл)</t>
  </si>
  <si>
    <t>Ролтон Пюре 70г * 24шт</t>
  </si>
  <si>
    <t>ЭГОИСТ 100г (ул. * 12шт)</t>
  </si>
  <si>
    <t>Цикорий Эльза 100г * 12шт</t>
  </si>
  <si>
    <t>Чудо классни 40г * 24шт</t>
  </si>
  <si>
    <t>Фрутепла - Радуга 41г (9 бл * 21 шт)</t>
  </si>
  <si>
    <t>Цикорий Экология 85г кор. * 15шт с/б</t>
  </si>
  <si>
    <t>Альпен Гольд Тропический 90г * 21шт</t>
  </si>
  <si>
    <t>Якобс Орех 95г * 6шт с/б</t>
  </si>
  <si>
    <t>Альпен Гольд 90г ОРЕО клубника * 19шт</t>
  </si>
  <si>
    <t>Меллер 38г (кор. * 86л * 24шт)</t>
  </si>
  <si>
    <t>Юбилейное 232г * 16шт</t>
  </si>
  <si>
    <t>Китекет 85г * 28шт</t>
  </si>
  <si>
    <t>ТЕСС 100 пак черный (кор. * 9шт)</t>
  </si>
  <si>
    <t>ЭГОИСТ 100г (ул. * 9шт)</t>
  </si>
  <si>
    <t>Кока КОЛА 2л (ул. * 6шт)</t>
  </si>
  <si>
    <t>Гот. зав. Хрутка 230г * 6шт</t>
  </si>
  <si>
    <t>Амбассадор Платина 47г * 12шт</t>
  </si>
  <si>
    <t>Черная Карта 95г * 12шт</t>
  </si>
  <si>
    <t>Альпен Гольд 90г изюм - фундук * 20шт</t>
  </si>
  <si>
    <t>ХАН ЧАЙ 30 пак (кор. * 30 ул) с Мускатны</t>
  </si>
  <si>
    <t>Гринфила 100 пак Мелисса (кор. * 9шт)</t>
  </si>
  <si>
    <t>Якобс Миликано К 95г стекло</t>
  </si>
  <si>
    <t>-</t>
  </si>
  <si>
    <t>Розничная цена в магазинах</t>
  </si>
  <si>
    <t>% прибавки в цене в магазинах</t>
  </si>
  <si>
    <t>Наши цены</t>
  </si>
  <si>
    <t>% прибавки в цене у нас</t>
  </si>
  <si>
    <t xml:space="preserve">Разница в цене </t>
  </si>
  <si>
    <t>Прибыль с одной штуки у нас</t>
  </si>
  <si>
    <t>Прибыль с одной штуки у магазинов</t>
  </si>
  <si>
    <t>Цена за один км в ноль(Распределяется за весь пакет)</t>
  </si>
  <si>
    <t>8р/км</t>
  </si>
  <si>
    <t>Цена коробки с логотипом (размер не известен)</t>
  </si>
  <si>
    <t>50-250р</t>
  </si>
  <si>
    <t>Оптовая цена</t>
  </si>
  <si>
    <t>50-250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</si>
</sst>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₽_-;\-* #,##0.00\ _₽_-;_-* &quot;-&quot;??\ _₽_-;_-@_-"/>
  </numFmts>
  <fonts count="6" x14ac:knownFonts="1">
    <font>
      <sz val="11"/>
      <color theme="1"/>
      <name val="Trebuchet MS"/>
      <family val="2"/>
      <charset val="204"/>
      <scheme val="minor"/>
    </font>
    <font>
      <sz val="11"/>
      <color theme="1"/>
      <name val="Trebuchet MS"/>
      <family val="2"/>
      <charset val="204"/>
      <scheme val="minor"/>
    </font>
    <font>
      <sz val="11"/>
      <color rgb="FFFF0000"/>
      <name val="Trebuchet MS"/>
      <family val="2"/>
      <charset val="204"/>
      <scheme val="minor"/>
    </font>
    <font>
      <b/>
      <sz val="11"/>
      <color theme="1"/>
      <name val="Trebuchet MS"/>
      <family val="2"/>
      <charset val="204"/>
      <scheme val="minor"/>
    </font>
    <font>
      <b/>
      <sz val="11"/>
      <color rgb="FFFF0000"/>
      <name val="Trebuchet MS"/>
      <family val="2"/>
      <charset val="204"/>
      <scheme val="minor"/>
    </font>
    <font>
      <b/>
      <sz val="11"/>
      <name val="Trebuchet MS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0" fillId="2" borderId="0" xfId="0" applyFill="1"/>
    <xf numFmtId="0" fontId="2" fillId="3" borderId="4" xfId="0" applyFont="1" applyFill="1" applyBorder="1" applyAlignment="1">
      <alignment horizontal="center"/>
    </xf>
    <xf numFmtId="0" fontId="3" fillId="2" borderId="1" xfId="0" applyFont="1" applyFill="1" applyBorder="1"/>
    <xf numFmtId="43" fontId="3" fillId="2" borderId="1" xfId="1" applyFont="1" applyFill="1" applyBorder="1"/>
    <xf numFmtId="0" fontId="4" fillId="3" borderId="3" xfId="0" applyFont="1" applyFill="1" applyBorder="1"/>
    <xf numFmtId="43" fontId="3" fillId="0" borderId="1" xfId="1" applyFont="1" applyFill="1" applyBorder="1"/>
    <xf numFmtId="0" fontId="0" fillId="0" borderId="0" xfId="0" applyFill="1"/>
    <xf numFmtId="0" fontId="0" fillId="0" borderId="1" xfId="0" applyFill="1" applyBorder="1"/>
    <xf numFmtId="9" fontId="0" fillId="0" borderId="1" xfId="2" applyFont="1" applyFill="1" applyBorder="1"/>
    <xf numFmtId="43" fontId="0" fillId="0" borderId="1" xfId="1" applyFont="1" applyFill="1" applyBorder="1"/>
    <xf numFmtId="9" fontId="0" fillId="0" borderId="1" xfId="0" applyNumberFormat="1" applyFill="1" applyBorder="1"/>
    <xf numFmtId="164" fontId="0" fillId="0" borderId="1" xfId="0" applyNumberFormat="1" applyFill="1" applyBorder="1"/>
    <xf numFmtId="0" fontId="0" fillId="0" borderId="2" xfId="0" applyFill="1" applyBorder="1"/>
    <xf numFmtId="0" fontId="0" fillId="0" borderId="0" xfId="0" applyFill="1" applyAlignment="1">
      <alignment horizontal="center"/>
    </xf>
    <xf numFmtId="43" fontId="3" fillId="0" borderId="0" xfId="1" applyFont="1" applyFill="1"/>
    <xf numFmtId="43" fontId="0" fillId="0" borderId="0" xfId="1" applyFont="1" applyFill="1"/>
    <xf numFmtId="0" fontId="3" fillId="2" borderId="0" xfId="0" applyFont="1" applyFill="1"/>
    <xf numFmtId="43" fontId="5" fillId="4" borderId="1" xfId="1" applyFont="1" applyFill="1" applyBorder="1"/>
    <xf numFmtId="0" fontId="3" fillId="4" borderId="1" xfId="0" applyFont="1" applyFill="1" applyBorder="1"/>
    <xf numFmtId="43" fontId="3" fillId="5" borderId="1" xfId="1" applyFont="1" applyFill="1" applyBorder="1"/>
    <xf numFmtId="0" fontId="3" fillId="5" borderId="1" xfId="0" applyFont="1" applyFill="1" applyBorder="1"/>
    <xf numFmtId="0" fontId="3" fillId="5" borderId="2" xfId="0" applyFont="1" applyFill="1" applyBorder="1"/>
    <xf numFmtId="0" fontId="4" fillId="6" borderId="5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colors>
    <mruColors>
      <color rgb="FFFF99FF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Аспект">
  <a:themeElements>
    <a:clrScheme name="Аспект">
      <a:dk1>
        <a:sysClr val="windowText" lastClr="00000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99CA3C"/>
      </a:hlink>
      <a:folHlink>
        <a:srgbClr val="B9D181"/>
      </a:folHlink>
    </a:clrScheme>
    <a:fontScheme name="Аспект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Аспект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acet" id="{C0C680CD-088A-49FC-A102-D699147F32B2}" vid="{CFBC31BA-B70F-4F30-BCAA-4F3011E16C4D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C56E7-E4EF-4ACB-BF5B-A8E48ED192CC}">
  <dimension ref="A1:BR142"/>
  <sheetViews>
    <sheetView tabSelected="1" workbookViewId="0">
      <pane xSplit="1" ySplit="1" topLeftCell="B55" activePane="bottomRight" state="frozen"/>
      <selection pane="topRight" activeCell="B1" sqref="B1"/>
      <selection pane="bottomLeft" activeCell="A2" sqref="A2"/>
      <selection pane="bottomRight" activeCell="E81" sqref="E81"/>
    </sheetView>
  </sheetViews>
  <sheetFormatPr defaultColWidth="8.625" defaultRowHeight="16.5" x14ac:dyDescent="0.3"/>
  <cols>
    <col min="1" max="1" width="49.75" style="17" customWidth="1"/>
    <col min="2" max="2" width="14.625" style="7" customWidth="1"/>
    <col min="3" max="3" width="25.375" style="15" customWidth="1"/>
    <col min="4" max="4" width="27.125" style="7" customWidth="1"/>
    <col min="5" max="5" width="29.875" style="16" customWidth="1"/>
    <col min="6" max="6" width="32" style="16" customWidth="1"/>
    <col min="7" max="7" width="31.5" style="7" customWidth="1"/>
    <col min="8" max="8" width="17.625" style="7" customWidth="1"/>
    <col min="9" max="9" width="26.625" style="7" customWidth="1"/>
    <col min="10" max="10" width="34.125" style="7" customWidth="1"/>
    <col min="11" max="11" width="55.375" style="7" customWidth="1"/>
    <col min="12" max="12" width="45.5" style="14" customWidth="1"/>
    <col min="13" max="16384" width="8.625" style="7"/>
  </cols>
  <sheetData>
    <row r="1" spans="1:70" s="1" customFormat="1" x14ac:dyDescent="0.3">
      <c r="A1" s="3" t="s">
        <v>0</v>
      </c>
      <c r="B1" s="3" t="s">
        <v>1</v>
      </c>
      <c r="C1" s="4" t="s">
        <v>158</v>
      </c>
      <c r="D1" s="21" t="s">
        <v>147</v>
      </c>
      <c r="E1" s="20" t="s">
        <v>148</v>
      </c>
      <c r="F1" s="18" t="s">
        <v>149</v>
      </c>
      <c r="G1" s="19" t="s">
        <v>150</v>
      </c>
      <c r="H1" s="3" t="s">
        <v>151</v>
      </c>
      <c r="I1" s="19" t="s">
        <v>152</v>
      </c>
      <c r="J1" s="22" t="s">
        <v>153</v>
      </c>
      <c r="K1" s="5" t="s">
        <v>154</v>
      </c>
      <c r="L1" s="23" t="s">
        <v>156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</row>
    <row r="2" spans="1:70" ht="17.25" thickBot="1" x14ac:dyDescent="0.35">
      <c r="A2" s="3" t="s">
        <v>2</v>
      </c>
      <c r="B2" s="8" t="s">
        <v>3</v>
      </c>
      <c r="C2" s="6">
        <v>175</v>
      </c>
      <c r="D2" s="8">
        <v>229</v>
      </c>
      <c r="E2" s="9">
        <f>((D2-C2)/C2)</f>
        <v>0.30857142857142855</v>
      </c>
      <c r="F2" s="10">
        <f>C2+C2*G2</f>
        <v>202.75</v>
      </c>
      <c r="G2" s="11">
        <f>E2-15%</f>
        <v>0.15857142857142856</v>
      </c>
      <c r="H2" s="12">
        <f>D2-F2</f>
        <v>26.25</v>
      </c>
      <c r="I2" s="12">
        <f>F2-C2</f>
        <v>27.75</v>
      </c>
      <c r="J2" s="13">
        <f>D2-C2</f>
        <v>54</v>
      </c>
      <c r="K2" s="2" t="s">
        <v>155</v>
      </c>
      <c r="L2" s="24" t="s">
        <v>157</v>
      </c>
    </row>
    <row r="3" spans="1:70" x14ac:dyDescent="0.3">
      <c r="A3" s="3" t="s">
        <v>4</v>
      </c>
      <c r="B3" s="8" t="s">
        <v>3</v>
      </c>
      <c r="C3" s="6">
        <v>12</v>
      </c>
      <c r="D3" s="8">
        <v>18</v>
      </c>
      <c r="E3" s="9">
        <f t="shared" ref="E3:E66" si="0">((D3-C3)/C3)</f>
        <v>0.5</v>
      </c>
      <c r="F3" s="10">
        <f t="shared" ref="F3:F66" si="1">C3+C3*G3</f>
        <v>16.2</v>
      </c>
      <c r="G3" s="11">
        <f t="shared" ref="G3:G66" si="2">E3-15%</f>
        <v>0.35</v>
      </c>
      <c r="H3" s="12">
        <f t="shared" ref="H3:H66" si="3">D3-F3</f>
        <v>1.8000000000000007</v>
      </c>
      <c r="I3" s="12">
        <f t="shared" ref="I3:I66" si="4">F3-C3</f>
        <v>4.1999999999999993</v>
      </c>
      <c r="J3" s="8">
        <f t="shared" ref="J3:J66" si="5">D3-C3</f>
        <v>6</v>
      </c>
    </row>
    <row r="4" spans="1:70" x14ac:dyDescent="0.3">
      <c r="A4" s="3" t="s">
        <v>5</v>
      </c>
      <c r="B4" s="8" t="s">
        <v>3</v>
      </c>
      <c r="C4" s="6">
        <v>460</v>
      </c>
      <c r="D4" s="8">
        <v>590</v>
      </c>
      <c r="E4" s="9">
        <f t="shared" si="0"/>
        <v>0.28260869565217389</v>
      </c>
      <c r="F4" s="10">
        <f t="shared" si="1"/>
        <v>521</v>
      </c>
      <c r="G4" s="11">
        <f t="shared" si="2"/>
        <v>0.1326086956521739</v>
      </c>
      <c r="H4" s="12">
        <f t="shared" si="3"/>
        <v>69</v>
      </c>
      <c r="I4" s="12">
        <f t="shared" si="4"/>
        <v>61</v>
      </c>
      <c r="J4" s="8">
        <f t="shared" si="5"/>
        <v>130</v>
      </c>
    </row>
    <row r="5" spans="1:70" x14ac:dyDescent="0.3">
      <c r="A5" s="3" t="s">
        <v>6</v>
      </c>
      <c r="B5" s="8" t="s">
        <v>3</v>
      </c>
      <c r="C5" s="6">
        <v>67</v>
      </c>
      <c r="D5" s="8">
        <v>89</v>
      </c>
      <c r="E5" s="9">
        <f t="shared" si="0"/>
        <v>0.32835820895522388</v>
      </c>
      <c r="F5" s="10">
        <f>C5+C5*G5</f>
        <v>78.95</v>
      </c>
      <c r="G5" s="11">
        <f t="shared" si="2"/>
        <v>0.17835820895522389</v>
      </c>
      <c r="H5" s="12">
        <f t="shared" si="3"/>
        <v>10.049999999999997</v>
      </c>
      <c r="I5" s="12">
        <f t="shared" si="4"/>
        <v>11.950000000000003</v>
      </c>
      <c r="J5" s="8">
        <f t="shared" si="5"/>
        <v>22</v>
      </c>
    </row>
    <row r="6" spans="1:70" x14ac:dyDescent="0.3">
      <c r="A6" s="3" t="s">
        <v>7</v>
      </c>
      <c r="B6" s="8" t="s">
        <v>3</v>
      </c>
      <c r="C6" s="6">
        <v>44</v>
      </c>
      <c r="D6" s="8">
        <v>59</v>
      </c>
      <c r="E6" s="9">
        <f t="shared" si="0"/>
        <v>0.34090909090909088</v>
      </c>
      <c r="F6" s="10">
        <f t="shared" si="1"/>
        <v>52.4</v>
      </c>
      <c r="G6" s="11">
        <f t="shared" si="2"/>
        <v>0.19090909090909089</v>
      </c>
      <c r="H6" s="12">
        <f t="shared" si="3"/>
        <v>6.6000000000000014</v>
      </c>
      <c r="I6" s="12">
        <f t="shared" si="4"/>
        <v>8.3999999999999986</v>
      </c>
      <c r="J6" s="8">
        <f t="shared" si="5"/>
        <v>15</v>
      </c>
    </row>
    <row r="7" spans="1:70" x14ac:dyDescent="0.3">
      <c r="A7" s="3" t="s">
        <v>8</v>
      </c>
      <c r="B7" s="8" t="s">
        <v>3</v>
      </c>
      <c r="C7" s="6">
        <v>43</v>
      </c>
      <c r="D7" s="8">
        <v>58</v>
      </c>
      <c r="E7" s="9">
        <f t="shared" si="0"/>
        <v>0.34883720930232559</v>
      </c>
      <c r="F7" s="10">
        <f t="shared" si="1"/>
        <v>51.55</v>
      </c>
      <c r="G7" s="11">
        <f t="shared" si="2"/>
        <v>0.1988372093023256</v>
      </c>
      <c r="H7" s="12">
        <f t="shared" si="3"/>
        <v>6.4500000000000028</v>
      </c>
      <c r="I7" s="12">
        <f t="shared" si="4"/>
        <v>8.5499999999999972</v>
      </c>
      <c r="J7" s="8">
        <f t="shared" si="5"/>
        <v>15</v>
      </c>
    </row>
    <row r="8" spans="1:70" x14ac:dyDescent="0.3">
      <c r="A8" s="3" t="s">
        <v>9</v>
      </c>
      <c r="B8" s="8" t="s">
        <v>3</v>
      </c>
      <c r="C8" s="6">
        <v>256</v>
      </c>
      <c r="D8" s="8">
        <v>335</v>
      </c>
      <c r="E8" s="9">
        <f t="shared" si="0"/>
        <v>0.30859375</v>
      </c>
      <c r="F8" s="10">
        <f t="shared" si="1"/>
        <v>296.60000000000002</v>
      </c>
      <c r="G8" s="11">
        <f t="shared" si="2"/>
        <v>0.15859375000000001</v>
      </c>
      <c r="H8" s="12">
        <f t="shared" si="3"/>
        <v>38.399999999999977</v>
      </c>
      <c r="I8" s="12">
        <f t="shared" si="4"/>
        <v>40.600000000000023</v>
      </c>
      <c r="J8" s="8">
        <f t="shared" si="5"/>
        <v>79</v>
      </c>
    </row>
    <row r="9" spans="1:70" x14ac:dyDescent="0.3">
      <c r="A9" s="3" t="s">
        <v>10</v>
      </c>
      <c r="B9" s="8" t="s">
        <v>3</v>
      </c>
      <c r="C9" s="6">
        <v>61.5</v>
      </c>
      <c r="D9" s="8">
        <v>81</v>
      </c>
      <c r="E9" s="9">
        <f t="shared" si="0"/>
        <v>0.31707317073170732</v>
      </c>
      <c r="F9" s="10">
        <f t="shared" si="1"/>
        <v>71.775000000000006</v>
      </c>
      <c r="G9" s="11">
        <f t="shared" si="2"/>
        <v>0.16707317073170733</v>
      </c>
      <c r="H9" s="12">
        <f t="shared" si="3"/>
        <v>9.2249999999999943</v>
      </c>
      <c r="I9" s="12">
        <f t="shared" si="4"/>
        <v>10.275000000000006</v>
      </c>
      <c r="J9" s="8">
        <f t="shared" si="5"/>
        <v>19.5</v>
      </c>
    </row>
    <row r="10" spans="1:70" x14ac:dyDescent="0.3">
      <c r="A10" s="3" t="s">
        <v>11</v>
      </c>
      <c r="B10" s="8" t="s">
        <v>3</v>
      </c>
      <c r="C10" s="6">
        <v>120</v>
      </c>
      <c r="D10" s="8">
        <v>155</v>
      </c>
      <c r="E10" s="9">
        <f t="shared" si="0"/>
        <v>0.29166666666666669</v>
      </c>
      <c r="F10" s="10">
        <f t="shared" si="1"/>
        <v>137</v>
      </c>
      <c r="G10" s="11">
        <f t="shared" si="2"/>
        <v>0.14166666666666669</v>
      </c>
      <c r="H10" s="12">
        <f t="shared" si="3"/>
        <v>18</v>
      </c>
      <c r="I10" s="12">
        <f t="shared" si="4"/>
        <v>17</v>
      </c>
      <c r="J10" s="8">
        <f t="shared" si="5"/>
        <v>35</v>
      </c>
    </row>
    <row r="11" spans="1:70" x14ac:dyDescent="0.3">
      <c r="A11" s="3" t="s">
        <v>12</v>
      </c>
      <c r="B11" s="8" t="s">
        <v>3</v>
      </c>
      <c r="C11" s="6">
        <v>63</v>
      </c>
      <c r="D11" s="8">
        <v>85</v>
      </c>
      <c r="E11" s="9">
        <f t="shared" si="0"/>
        <v>0.34920634920634919</v>
      </c>
      <c r="F11" s="10">
        <f t="shared" si="1"/>
        <v>75.55</v>
      </c>
      <c r="G11" s="11">
        <f t="shared" si="2"/>
        <v>0.19920634920634919</v>
      </c>
      <c r="H11" s="12">
        <f t="shared" si="3"/>
        <v>9.4500000000000028</v>
      </c>
      <c r="I11" s="12">
        <f t="shared" si="4"/>
        <v>12.549999999999997</v>
      </c>
      <c r="J11" s="8">
        <f t="shared" si="5"/>
        <v>22</v>
      </c>
      <c r="K11" s="14" t="s">
        <v>155</v>
      </c>
      <c r="L11" s="14" t="s">
        <v>159</v>
      </c>
    </row>
    <row r="12" spans="1:70" x14ac:dyDescent="0.3">
      <c r="A12" s="3" t="s">
        <v>13</v>
      </c>
      <c r="B12" s="8" t="s">
        <v>3</v>
      </c>
      <c r="C12" s="6">
        <v>56.5</v>
      </c>
      <c r="D12" s="8">
        <v>75</v>
      </c>
      <c r="E12" s="9">
        <f t="shared" si="0"/>
        <v>0.32743362831858408</v>
      </c>
      <c r="F12" s="10">
        <f t="shared" si="1"/>
        <v>66.525000000000006</v>
      </c>
      <c r="G12" s="11">
        <f t="shared" si="2"/>
        <v>0.17743362831858409</v>
      </c>
      <c r="H12" s="12">
        <f t="shared" si="3"/>
        <v>8.4749999999999943</v>
      </c>
      <c r="I12" s="12">
        <f t="shared" si="4"/>
        <v>10.025000000000006</v>
      </c>
      <c r="J12" s="8">
        <f t="shared" si="5"/>
        <v>18.5</v>
      </c>
    </row>
    <row r="13" spans="1:70" x14ac:dyDescent="0.3">
      <c r="A13" s="3" t="s">
        <v>14</v>
      </c>
      <c r="B13" s="8" t="s">
        <v>3</v>
      </c>
      <c r="C13" s="6">
        <v>38</v>
      </c>
      <c r="D13" s="8">
        <v>51</v>
      </c>
      <c r="E13" s="9">
        <f t="shared" si="0"/>
        <v>0.34210526315789475</v>
      </c>
      <c r="F13" s="10">
        <f t="shared" si="1"/>
        <v>45.3</v>
      </c>
      <c r="G13" s="11">
        <f t="shared" si="2"/>
        <v>0.19210526315789475</v>
      </c>
      <c r="H13" s="12">
        <f t="shared" si="3"/>
        <v>5.7000000000000028</v>
      </c>
      <c r="I13" s="12">
        <f t="shared" si="4"/>
        <v>7.2999999999999972</v>
      </c>
      <c r="J13" s="8">
        <f t="shared" si="5"/>
        <v>13</v>
      </c>
    </row>
    <row r="14" spans="1:70" x14ac:dyDescent="0.3">
      <c r="A14" s="3" t="s">
        <v>15</v>
      </c>
      <c r="B14" s="8" t="s">
        <v>3</v>
      </c>
      <c r="C14" s="6">
        <v>44</v>
      </c>
      <c r="D14" s="8">
        <v>59</v>
      </c>
      <c r="E14" s="9">
        <f t="shared" si="0"/>
        <v>0.34090909090909088</v>
      </c>
      <c r="F14" s="10">
        <f t="shared" si="1"/>
        <v>52.4</v>
      </c>
      <c r="G14" s="11">
        <f t="shared" si="2"/>
        <v>0.19090909090909089</v>
      </c>
      <c r="H14" s="12">
        <f t="shared" si="3"/>
        <v>6.6000000000000014</v>
      </c>
      <c r="I14" s="12">
        <f t="shared" si="4"/>
        <v>8.3999999999999986</v>
      </c>
      <c r="J14" s="8">
        <f t="shared" si="5"/>
        <v>15</v>
      </c>
    </row>
    <row r="15" spans="1:70" x14ac:dyDescent="0.3">
      <c r="A15" s="3" t="s">
        <v>16</v>
      </c>
      <c r="B15" s="8" t="s">
        <v>3</v>
      </c>
      <c r="C15" s="6">
        <v>79</v>
      </c>
      <c r="D15" s="8">
        <v>105</v>
      </c>
      <c r="E15" s="9">
        <f t="shared" si="0"/>
        <v>0.32911392405063289</v>
      </c>
      <c r="F15" s="10">
        <f t="shared" si="1"/>
        <v>93.15</v>
      </c>
      <c r="G15" s="11">
        <f t="shared" si="2"/>
        <v>0.17911392405063289</v>
      </c>
      <c r="H15" s="12">
        <f t="shared" si="3"/>
        <v>11.849999999999994</v>
      </c>
      <c r="I15" s="12">
        <f t="shared" si="4"/>
        <v>14.150000000000006</v>
      </c>
      <c r="J15" s="8">
        <f t="shared" si="5"/>
        <v>26</v>
      </c>
    </row>
    <row r="16" spans="1:70" x14ac:dyDescent="0.3">
      <c r="A16" s="3" t="s">
        <v>17</v>
      </c>
      <c r="B16" s="8" t="s">
        <v>3</v>
      </c>
      <c r="C16" s="6">
        <v>72</v>
      </c>
      <c r="D16" s="8">
        <v>95</v>
      </c>
      <c r="E16" s="9">
        <f t="shared" si="0"/>
        <v>0.31944444444444442</v>
      </c>
      <c r="F16" s="10">
        <f t="shared" si="1"/>
        <v>84.2</v>
      </c>
      <c r="G16" s="11">
        <f t="shared" si="2"/>
        <v>0.16944444444444443</v>
      </c>
      <c r="H16" s="12">
        <f t="shared" si="3"/>
        <v>10.799999999999997</v>
      </c>
      <c r="I16" s="12">
        <f t="shared" si="4"/>
        <v>12.200000000000003</v>
      </c>
      <c r="J16" s="8">
        <f t="shared" si="5"/>
        <v>23</v>
      </c>
    </row>
    <row r="17" spans="1:10" x14ac:dyDescent="0.3">
      <c r="A17" s="3" t="s">
        <v>18</v>
      </c>
      <c r="B17" s="8" t="s">
        <v>3</v>
      </c>
      <c r="C17" s="6">
        <v>42</v>
      </c>
      <c r="D17" s="8">
        <v>56</v>
      </c>
      <c r="E17" s="9">
        <f t="shared" si="0"/>
        <v>0.33333333333333331</v>
      </c>
      <c r="F17" s="10">
        <f t="shared" si="1"/>
        <v>49.7</v>
      </c>
      <c r="G17" s="11">
        <f t="shared" si="2"/>
        <v>0.18333333333333332</v>
      </c>
      <c r="H17" s="12">
        <f t="shared" si="3"/>
        <v>6.2999999999999972</v>
      </c>
      <c r="I17" s="12">
        <f t="shared" si="4"/>
        <v>7.7000000000000028</v>
      </c>
      <c r="J17" s="8">
        <f t="shared" si="5"/>
        <v>14</v>
      </c>
    </row>
    <row r="18" spans="1:10" x14ac:dyDescent="0.3">
      <c r="A18" s="3" t="s">
        <v>19</v>
      </c>
      <c r="B18" s="8" t="s">
        <v>3</v>
      </c>
      <c r="C18" s="6">
        <v>39</v>
      </c>
      <c r="D18" s="8">
        <v>51</v>
      </c>
      <c r="E18" s="9">
        <f t="shared" si="0"/>
        <v>0.30769230769230771</v>
      </c>
      <c r="F18" s="10">
        <f t="shared" si="1"/>
        <v>45.15</v>
      </c>
      <c r="G18" s="11">
        <f t="shared" si="2"/>
        <v>0.15769230769230771</v>
      </c>
      <c r="H18" s="12">
        <f t="shared" si="3"/>
        <v>5.8500000000000014</v>
      </c>
      <c r="I18" s="12">
        <f t="shared" si="4"/>
        <v>6.1499999999999986</v>
      </c>
      <c r="J18" s="8">
        <f t="shared" si="5"/>
        <v>12</v>
      </c>
    </row>
    <row r="19" spans="1:10" x14ac:dyDescent="0.3">
      <c r="A19" s="3" t="s">
        <v>20</v>
      </c>
      <c r="B19" s="8" t="s">
        <v>3</v>
      </c>
      <c r="C19" s="6">
        <v>260</v>
      </c>
      <c r="D19" s="8">
        <v>340</v>
      </c>
      <c r="E19" s="9">
        <f t="shared" si="0"/>
        <v>0.30769230769230771</v>
      </c>
      <c r="F19" s="10">
        <f t="shared" si="1"/>
        <v>301</v>
      </c>
      <c r="G19" s="11">
        <f t="shared" si="2"/>
        <v>0.15769230769230771</v>
      </c>
      <c r="H19" s="12">
        <f t="shared" si="3"/>
        <v>39</v>
      </c>
      <c r="I19" s="12">
        <f t="shared" si="4"/>
        <v>41</v>
      </c>
      <c r="J19" s="8">
        <f t="shared" si="5"/>
        <v>80</v>
      </c>
    </row>
    <row r="20" spans="1:10" x14ac:dyDescent="0.3">
      <c r="A20" s="3" t="s">
        <v>21</v>
      </c>
      <c r="B20" s="8" t="s">
        <v>3</v>
      </c>
      <c r="C20" s="6">
        <v>117</v>
      </c>
      <c r="D20" s="8">
        <v>155</v>
      </c>
      <c r="E20" s="9">
        <f t="shared" si="0"/>
        <v>0.3247863247863248</v>
      </c>
      <c r="F20" s="10">
        <f t="shared" si="1"/>
        <v>137.44999999999999</v>
      </c>
      <c r="G20" s="11">
        <f t="shared" si="2"/>
        <v>0.1747863247863248</v>
      </c>
      <c r="H20" s="12">
        <f t="shared" si="3"/>
        <v>17.550000000000011</v>
      </c>
      <c r="I20" s="12">
        <f t="shared" si="4"/>
        <v>20.449999999999989</v>
      </c>
      <c r="J20" s="8">
        <f t="shared" si="5"/>
        <v>38</v>
      </c>
    </row>
    <row r="21" spans="1:10" x14ac:dyDescent="0.3">
      <c r="A21" s="3" t="s">
        <v>22</v>
      </c>
      <c r="B21" s="8" t="s">
        <v>3</v>
      </c>
      <c r="C21" s="6">
        <v>94</v>
      </c>
      <c r="D21" s="8">
        <v>125</v>
      </c>
      <c r="E21" s="9">
        <f t="shared" si="0"/>
        <v>0.32978723404255317</v>
      </c>
      <c r="F21" s="10">
        <f t="shared" si="1"/>
        <v>110.9</v>
      </c>
      <c r="G21" s="11">
        <f t="shared" si="2"/>
        <v>0.17978723404255317</v>
      </c>
      <c r="H21" s="12">
        <f t="shared" si="3"/>
        <v>14.099999999999994</v>
      </c>
      <c r="I21" s="12">
        <f t="shared" si="4"/>
        <v>16.900000000000006</v>
      </c>
      <c r="J21" s="8">
        <f t="shared" si="5"/>
        <v>31</v>
      </c>
    </row>
    <row r="22" spans="1:10" x14ac:dyDescent="0.3">
      <c r="A22" s="3" t="s">
        <v>23</v>
      </c>
      <c r="B22" s="8" t="s">
        <v>3</v>
      </c>
      <c r="C22" s="6">
        <v>270</v>
      </c>
      <c r="D22" s="8">
        <v>355</v>
      </c>
      <c r="E22" s="9">
        <f t="shared" si="0"/>
        <v>0.31481481481481483</v>
      </c>
      <c r="F22" s="10">
        <f t="shared" si="1"/>
        <v>314.5</v>
      </c>
      <c r="G22" s="11">
        <f t="shared" si="2"/>
        <v>0.16481481481481483</v>
      </c>
      <c r="H22" s="12">
        <f t="shared" si="3"/>
        <v>40.5</v>
      </c>
      <c r="I22" s="12">
        <f t="shared" si="4"/>
        <v>44.5</v>
      </c>
      <c r="J22" s="8">
        <f t="shared" si="5"/>
        <v>85</v>
      </c>
    </row>
    <row r="23" spans="1:10" x14ac:dyDescent="0.3">
      <c r="A23" s="3" t="s">
        <v>24</v>
      </c>
      <c r="B23" s="8" t="s">
        <v>3</v>
      </c>
      <c r="C23" s="6">
        <v>81</v>
      </c>
      <c r="D23" s="8">
        <v>109</v>
      </c>
      <c r="E23" s="9">
        <f t="shared" si="0"/>
        <v>0.34567901234567899</v>
      </c>
      <c r="F23" s="10">
        <f t="shared" si="1"/>
        <v>96.85</v>
      </c>
      <c r="G23" s="11">
        <f t="shared" si="2"/>
        <v>0.195679012345679</v>
      </c>
      <c r="H23" s="12">
        <f t="shared" si="3"/>
        <v>12.150000000000006</v>
      </c>
      <c r="I23" s="12">
        <f t="shared" si="4"/>
        <v>15.849999999999994</v>
      </c>
      <c r="J23" s="8">
        <f t="shared" si="5"/>
        <v>28</v>
      </c>
    </row>
    <row r="24" spans="1:10" x14ac:dyDescent="0.3">
      <c r="A24" s="3" t="s">
        <v>25</v>
      </c>
      <c r="B24" s="8" t="s">
        <v>3</v>
      </c>
      <c r="C24" s="6">
        <v>217</v>
      </c>
      <c r="D24" s="8">
        <v>285</v>
      </c>
      <c r="E24" s="9">
        <f t="shared" si="0"/>
        <v>0.31336405529953915</v>
      </c>
      <c r="F24" s="10">
        <f t="shared" si="1"/>
        <v>252.45</v>
      </c>
      <c r="G24" s="11">
        <f t="shared" si="2"/>
        <v>0.16336405529953915</v>
      </c>
      <c r="H24" s="12">
        <f t="shared" si="3"/>
        <v>32.550000000000011</v>
      </c>
      <c r="I24" s="12">
        <f t="shared" si="4"/>
        <v>35.449999999999989</v>
      </c>
      <c r="J24" s="8">
        <f t="shared" si="5"/>
        <v>68</v>
      </c>
    </row>
    <row r="25" spans="1:10" x14ac:dyDescent="0.3">
      <c r="A25" s="3" t="s">
        <v>26</v>
      </c>
      <c r="B25" s="8" t="s">
        <v>3</v>
      </c>
      <c r="C25" s="6">
        <v>177</v>
      </c>
      <c r="D25" s="8">
        <v>235</v>
      </c>
      <c r="E25" s="9">
        <f t="shared" si="0"/>
        <v>0.32768361581920902</v>
      </c>
      <c r="F25" s="10">
        <f t="shared" si="1"/>
        <v>208.45</v>
      </c>
      <c r="G25" s="11">
        <f t="shared" si="2"/>
        <v>0.17768361581920902</v>
      </c>
      <c r="H25" s="12">
        <f t="shared" si="3"/>
        <v>26.550000000000011</v>
      </c>
      <c r="I25" s="12">
        <f t="shared" si="4"/>
        <v>31.449999999999989</v>
      </c>
      <c r="J25" s="8">
        <f t="shared" si="5"/>
        <v>58</v>
      </c>
    </row>
    <row r="26" spans="1:10" x14ac:dyDescent="0.3">
      <c r="A26" s="3" t="s">
        <v>27</v>
      </c>
      <c r="B26" s="8" t="s">
        <v>3</v>
      </c>
      <c r="C26" s="6">
        <v>60</v>
      </c>
      <c r="D26" s="8">
        <v>80</v>
      </c>
      <c r="E26" s="9">
        <f t="shared" si="0"/>
        <v>0.33333333333333331</v>
      </c>
      <c r="F26" s="10">
        <f t="shared" si="1"/>
        <v>71</v>
      </c>
      <c r="G26" s="11">
        <f t="shared" si="2"/>
        <v>0.18333333333333332</v>
      </c>
      <c r="H26" s="12">
        <f t="shared" si="3"/>
        <v>9</v>
      </c>
      <c r="I26" s="12">
        <f t="shared" si="4"/>
        <v>11</v>
      </c>
      <c r="J26" s="8">
        <f t="shared" si="5"/>
        <v>20</v>
      </c>
    </row>
    <row r="27" spans="1:10" x14ac:dyDescent="0.3">
      <c r="A27" s="3" t="s">
        <v>28</v>
      </c>
      <c r="B27" s="8" t="s">
        <v>3</v>
      </c>
      <c r="C27" s="6">
        <v>33</v>
      </c>
      <c r="D27" s="8">
        <v>44</v>
      </c>
      <c r="E27" s="9">
        <f t="shared" si="0"/>
        <v>0.33333333333333331</v>
      </c>
      <c r="F27" s="10">
        <f t="shared" si="1"/>
        <v>39.049999999999997</v>
      </c>
      <c r="G27" s="11">
        <f t="shared" si="2"/>
        <v>0.18333333333333332</v>
      </c>
      <c r="H27" s="12">
        <f t="shared" si="3"/>
        <v>4.9500000000000028</v>
      </c>
      <c r="I27" s="12">
        <f t="shared" si="4"/>
        <v>6.0499999999999972</v>
      </c>
      <c r="J27" s="8">
        <f t="shared" si="5"/>
        <v>11</v>
      </c>
    </row>
    <row r="28" spans="1:10" x14ac:dyDescent="0.3">
      <c r="A28" s="3" t="s">
        <v>29</v>
      </c>
      <c r="B28" s="8" t="s">
        <v>3</v>
      </c>
      <c r="C28" s="6">
        <v>285</v>
      </c>
      <c r="D28" s="8">
        <v>375</v>
      </c>
      <c r="E28" s="9">
        <f t="shared" si="0"/>
        <v>0.31578947368421051</v>
      </c>
      <c r="F28" s="10">
        <f t="shared" si="1"/>
        <v>332.25</v>
      </c>
      <c r="G28" s="11">
        <f t="shared" si="2"/>
        <v>0.16578947368421051</v>
      </c>
      <c r="H28" s="12">
        <f t="shared" si="3"/>
        <v>42.75</v>
      </c>
      <c r="I28" s="12">
        <f t="shared" si="4"/>
        <v>47.25</v>
      </c>
      <c r="J28" s="8">
        <f t="shared" si="5"/>
        <v>90</v>
      </c>
    </row>
    <row r="29" spans="1:10" x14ac:dyDescent="0.3">
      <c r="A29" s="3" t="s">
        <v>30</v>
      </c>
      <c r="B29" s="8" t="s">
        <v>3</v>
      </c>
      <c r="C29" s="6">
        <v>41</v>
      </c>
      <c r="D29" s="8">
        <v>55</v>
      </c>
      <c r="E29" s="9">
        <f t="shared" si="0"/>
        <v>0.34146341463414637</v>
      </c>
      <c r="F29" s="10">
        <f t="shared" si="1"/>
        <v>48.85</v>
      </c>
      <c r="G29" s="11">
        <f t="shared" si="2"/>
        <v>0.19146341463414637</v>
      </c>
      <c r="H29" s="12">
        <f t="shared" si="3"/>
        <v>6.1499999999999986</v>
      </c>
      <c r="I29" s="12">
        <f t="shared" si="4"/>
        <v>7.8500000000000014</v>
      </c>
      <c r="J29" s="8">
        <f t="shared" si="5"/>
        <v>14</v>
      </c>
    </row>
    <row r="30" spans="1:10" x14ac:dyDescent="0.3">
      <c r="A30" s="3" t="s">
        <v>31</v>
      </c>
      <c r="B30" s="8" t="s">
        <v>3</v>
      </c>
      <c r="C30" s="6">
        <v>69</v>
      </c>
      <c r="D30" s="8">
        <v>92</v>
      </c>
      <c r="E30" s="9">
        <f t="shared" si="0"/>
        <v>0.33333333333333331</v>
      </c>
      <c r="F30" s="10">
        <f t="shared" si="1"/>
        <v>81.650000000000006</v>
      </c>
      <c r="G30" s="11">
        <f t="shared" si="2"/>
        <v>0.18333333333333332</v>
      </c>
      <c r="H30" s="12">
        <f t="shared" si="3"/>
        <v>10.349999999999994</v>
      </c>
      <c r="I30" s="12">
        <f t="shared" si="4"/>
        <v>12.650000000000006</v>
      </c>
      <c r="J30" s="8">
        <f t="shared" si="5"/>
        <v>23</v>
      </c>
    </row>
    <row r="31" spans="1:10" x14ac:dyDescent="0.3">
      <c r="A31" s="3" t="s">
        <v>32</v>
      </c>
      <c r="B31" s="8" t="s">
        <v>3</v>
      </c>
      <c r="C31" s="6">
        <v>17</v>
      </c>
      <c r="D31" s="8">
        <v>23</v>
      </c>
      <c r="E31" s="9">
        <f t="shared" si="0"/>
        <v>0.35294117647058826</v>
      </c>
      <c r="F31" s="10">
        <f t="shared" si="1"/>
        <v>20.45</v>
      </c>
      <c r="G31" s="11">
        <f t="shared" si="2"/>
        <v>0.20294117647058826</v>
      </c>
      <c r="H31" s="12">
        <f t="shared" si="3"/>
        <v>2.5500000000000007</v>
      </c>
      <c r="I31" s="12">
        <f t="shared" si="4"/>
        <v>3.4499999999999993</v>
      </c>
      <c r="J31" s="8">
        <f t="shared" si="5"/>
        <v>6</v>
      </c>
    </row>
    <row r="32" spans="1:10" x14ac:dyDescent="0.3">
      <c r="A32" s="3" t="s">
        <v>33</v>
      </c>
      <c r="B32" s="8" t="s">
        <v>3</v>
      </c>
      <c r="C32" s="6">
        <v>158</v>
      </c>
      <c r="D32" s="8">
        <v>210</v>
      </c>
      <c r="E32" s="9">
        <f t="shared" si="0"/>
        <v>0.32911392405063289</v>
      </c>
      <c r="F32" s="10">
        <f t="shared" si="1"/>
        <v>186.3</v>
      </c>
      <c r="G32" s="11">
        <f t="shared" si="2"/>
        <v>0.17911392405063289</v>
      </c>
      <c r="H32" s="12">
        <f t="shared" si="3"/>
        <v>23.699999999999989</v>
      </c>
      <c r="I32" s="12">
        <f t="shared" si="4"/>
        <v>28.300000000000011</v>
      </c>
      <c r="J32" s="8">
        <f t="shared" si="5"/>
        <v>52</v>
      </c>
    </row>
    <row r="33" spans="1:10" x14ac:dyDescent="0.3">
      <c r="A33" s="3" t="s">
        <v>34</v>
      </c>
      <c r="B33" s="8" t="s">
        <v>3</v>
      </c>
      <c r="C33" s="6">
        <v>68</v>
      </c>
      <c r="D33" s="8">
        <v>89</v>
      </c>
      <c r="E33" s="9">
        <f t="shared" si="0"/>
        <v>0.30882352941176472</v>
      </c>
      <c r="F33" s="10">
        <f t="shared" si="1"/>
        <v>78.8</v>
      </c>
      <c r="G33" s="11">
        <f t="shared" si="2"/>
        <v>0.15882352941176472</v>
      </c>
      <c r="H33" s="12">
        <f t="shared" si="3"/>
        <v>10.200000000000003</v>
      </c>
      <c r="I33" s="12">
        <f t="shared" si="4"/>
        <v>10.799999999999997</v>
      </c>
      <c r="J33" s="8">
        <f t="shared" si="5"/>
        <v>21</v>
      </c>
    </row>
    <row r="34" spans="1:10" x14ac:dyDescent="0.3">
      <c r="A34" s="3" t="s">
        <v>35</v>
      </c>
      <c r="B34" s="8" t="s">
        <v>3</v>
      </c>
      <c r="C34" s="6">
        <v>48</v>
      </c>
      <c r="D34" s="8">
        <v>64</v>
      </c>
      <c r="E34" s="9">
        <f t="shared" si="0"/>
        <v>0.33333333333333331</v>
      </c>
      <c r="F34" s="10">
        <f t="shared" si="1"/>
        <v>56.8</v>
      </c>
      <c r="G34" s="11">
        <f t="shared" si="2"/>
        <v>0.18333333333333332</v>
      </c>
      <c r="H34" s="12">
        <f t="shared" si="3"/>
        <v>7.2000000000000028</v>
      </c>
      <c r="I34" s="12">
        <f t="shared" si="4"/>
        <v>8.7999999999999972</v>
      </c>
      <c r="J34" s="8">
        <f t="shared" si="5"/>
        <v>16</v>
      </c>
    </row>
    <row r="35" spans="1:10" x14ac:dyDescent="0.3">
      <c r="A35" s="3" t="s">
        <v>36</v>
      </c>
      <c r="B35" s="8" t="s">
        <v>3</v>
      </c>
      <c r="C35" s="6">
        <v>58</v>
      </c>
      <c r="D35" s="8">
        <v>77</v>
      </c>
      <c r="E35" s="9">
        <f t="shared" si="0"/>
        <v>0.32758620689655171</v>
      </c>
      <c r="F35" s="10">
        <f t="shared" si="1"/>
        <v>68.3</v>
      </c>
      <c r="G35" s="11">
        <f t="shared" si="2"/>
        <v>0.17758620689655172</v>
      </c>
      <c r="H35" s="12">
        <f t="shared" si="3"/>
        <v>8.7000000000000028</v>
      </c>
      <c r="I35" s="12">
        <f t="shared" si="4"/>
        <v>10.299999999999997</v>
      </c>
      <c r="J35" s="8">
        <f t="shared" si="5"/>
        <v>19</v>
      </c>
    </row>
    <row r="36" spans="1:10" x14ac:dyDescent="0.3">
      <c r="A36" s="3" t="s">
        <v>37</v>
      </c>
      <c r="B36" s="8" t="s">
        <v>3</v>
      </c>
      <c r="C36" s="6">
        <v>18</v>
      </c>
      <c r="D36" s="8">
        <v>24</v>
      </c>
      <c r="E36" s="9">
        <f t="shared" si="0"/>
        <v>0.33333333333333331</v>
      </c>
      <c r="F36" s="10">
        <f t="shared" si="1"/>
        <v>21.3</v>
      </c>
      <c r="G36" s="11">
        <f t="shared" si="2"/>
        <v>0.18333333333333332</v>
      </c>
      <c r="H36" s="12">
        <f t="shared" si="3"/>
        <v>2.6999999999999993</v>
      </c>
      <c r="I36" s="12">
        <f t="shared" si="4"/>
        <v>3.3000000000000007</v>
      </c>
      <c r="J36" s="8">
        <f t="shared" si="5"/>
        <v>6</v>
      </c>
    </row>
    <row r="37" spans="1:10" x14ac:dyDescent="0.3">
      <c r="A37" s="3" t="s">
        <v>38</v>
      </c>
      <c r="B37" s="8" t="s">
        <v>3</v>
      </c>
      <c r="C37" s="6">
        <v>35</v>
      </c>
      <c r="D37" s="8">
        <v>47</v>
      </c>
      <c r="E37" s="9">
        <f t="shared" si="0"/>
        <v>0.34285714285714286</v>
      </c>
      <c r="F37" s="10">
        <f t="shared" si="1"/>
        <v>41.75</v>
      </c>
      <c r="G37" s="11">
        <f t="shared" si="2"/>
        <v>0.19285714285714287</v>
      </c>
      <c r="H37" s="12">
        <f t="shared" si="3"/>
        <v>5.25</v>
      </c>
      <c r="I37" s="12">
        <f t="shared" si="4"/>
        <v>6.75</v>
      </c>
      <c r="J37" s="8">
        <f t="shared" si="5"/>
        <v>12</v>
      </c>
    </row>
    <row r="38" spans="1:10" x14ac:dyDescent="0.3">
      <c r="A38" s="3" t="s">
        <v>39</v>
      </c>
      <c r="B38" s="8" t="s">
        <v>3</v>
      </c>
      <c r="C38" s="6">
        <v>455</v>
      </c>
      <c r="D38" s="8">
        <v>595</v>
      </c>
      <c r="E38" s="9">
        <f t="shared" si="0"/>
        <v>0.30769230769230771</v>
      </c>
      <c r="F38" s="10">
        <f t="shared" si="1"/>
        <v>526.75</v>
      </c>
      <c r="G38" s="11">
        <f t="shared" si="2"/>
        <v>0.15769230769230771</v>
      </c>
      <c r="H38" s="12">
        <f t="shared" si="3"/>
        <v>68.25</v>
      </c>
      <c r="I38" s="12">
        <f t="shared" si="4"/>
        <v>71.75</v>
      </c>
      <c r="J38" s="8">
        <f t="shared" si="5"/>
        <v>140</v>
      </c>
    </row>
    <row r="39" spans="1:10" x14ac:dyDescent="0.3">
      <c r="A39" s="3" t="s">
        <v>40</v>
      </c>
      <c r="B39" s="8" t="s">
        <v>3</v>
      </c>
      <c r="C39" s="6">
        <v>100</v>
      </c>
      <c r="D39" s="8">
        <v>132</v>
      </c>
      <c r="E39" s="9">
        <f t="shared" si="0"/>
        <v>0.32</v>
      </c>
      <c r="F39" s="10">
        <f t="shared" si="1"/>
        <v>117</v>
      </c>
      <c r="G39" s="11">
        <f t="shared" si="2"/>
        <v>0.17</v>
      </c>
      <c r="H39" s="12">
        <f t="shared" si="3"/>
        <v>15</v>
      </c>
      <c r="I39" s="12">
        <f t="shared" si="4"/>
        <v>17</v>
      </c>
      <c r="J39" s="8">
        <f t="shared" si="5"/>
        <v>32</v>
      </c>
    </row>
    <row r="40" spans="1:10" x14ac:dyDescent="0.3">
      <c r="A40" s="3" t="s">
        <v>41</v>
      </c>
      <c r="B40" s="8" t="s">
        <v>3</v>
      </c>
      <c r="C40" s="6">
        <v>66</v>
      </c>
      <c r="D40" s="8">
        <v>88</v>
      </c>
      <c r="E40" s="9">
        <f t="shared" si="0"/>
        <v>0.33333333333333331</v>
      </c>
      <c r="F40" s="10">
        <f t="shared" si="1"/>
        <v>78.099999999999994</v>
      </c>
      <c r="G40" s="11">
        <f t="shared" si="2"/>
        <v>0.18333333333333332</v>
      </c>
      <c r="H40" s="12">
        <f t="shared" si="3"/>
        <v>9.9000000000000057</v>
      </c>
      <c r="I40" s="12">
        <f t="shared" si="4"/>
        <v>12.099999999999994</v>
      </c>
      <c r="J40" s="8">
        <f t="shared" si="5"/>
        <v>22</v>
      </c>
    </row>
    <row r="41" spans="1:10" x14ac:dyDescent="0.3">
      <c r="A41" s="3" t="s">
        <v>42</v>
      </c>
      <c r="B41" s="8" t="s">
        <v>3</v>
      </c>
      <c r="C41" s="6">
        <v>240</v>
      </c>
      <c r="D41" s="8">
        <v>315</v>
      </c>
      <c r="E41" s="9">
        <f t="shared" si="0"/>
        <v>0.3125</v>
      </c>
      <c r="F41" s="10">
        <f t="shared" si="1"/>
        <v>279</v>
      </c>
      <c r="G41" s="11">
        <f t="shared" si="2"/>
        <v>0.16250000000000001</v>
      </c>
      <c r="H41" s="12">
        <f t="shared" si="3"/>
        <v>36</v>
      </c>
      <c r="I41" s="12">
        <f t="shared" si="4"/>
        <v>39</v>
      </c>
      <c r="J41" s="8">
        <f t="shared" si="5"/>
        <v>75</v>
      </c>
    </row>
    <row r="42" spans="1:10" x14ac:dyDescent="0.3">
      <c r="A42" s="3" t="s">
        <v>43</v>
      </c>
      <c r="B42" s="8" t="s">
        <v>3</v>
      </c>
      <c r="C42" s="6">
        <v>72</v>
      </c>
      <c r="D42" s="8">
        <v>96</v>
      </c>
      <c r="E42" s="9">
        <f t="shared" si="0"/>
        <v>0.33333333333333331</v>
      </c>
      <c r="F42" s="10">
        <f t="shared" si="1"/>
        <v>85.2</v>
      </c>
      <c r="G42" s="11">
        <f t="shared" si="2"/>
        <v>0.18333333333333332</v>
      </c>
      <c r="H42" s="12">
        <f t="shared" si="3"/>
        <v>10.799999999999997</v>
      </c>
      <c r="I42" s="12">
        <f t="shared" si="4"/>
        <v>13.200000000000003</v>
      </c>
      <c r="J42" s="8">
        <f t="shared" si="5"/>
        <v>24</v>
      </c>
    </row>
    <row r="43" spans="1:10" x14ac:dyDescent="0.3">
      <c r="A43" s="3" t="s">
        <v>44</v>
      </c>
      <c r="B43" s="8" t="s">
        <v>3</v>
      </c>
      <c r="C43" s="6">
        <v>223</v>
      </c>
      <c r="D43" s="8">
        <v>295</v>
      </c>
      <c r="E43" s="9">
        <f t="shared" si="0"/>
        <v>0.32286995515695066</v>
      </c>
      <c r="F43" s="10">
        <f t="shared" si="1"/>
        <v>261.55</v>
      </c>
      <c r="G43" s="11">
        <f t="shared" si="2"/>
        <v>0.17286995515695067</v>
      </c>
      <c r="H43" s="12">
        <f t="shared" si="3"/>
        <v>33.449999999999989</v>
      </c>
      <c r="I43" s="12">
        <f t="shared" si="4"/>
        <v>38.550000000000011</v>
      </c>
      <c r="J43" s="8">
        <f t="shared" si="5"/>
        <v>72</v>
      </c>
    </row>
    <row r="44" spans="1:10" x14ac:dyDescent="0.3">
      <c r="A44" s="3" t="s">
        <v>45</v>
      </c>
      <c r="B44" s="8" t="s">
        <v>3</v>
      </c>
      <c r="C44" s="6">
        <v>103</v>
      </c>
      <c r="D44" s="8">
        <v>135</v>
      </c>
      <c r="E44" s="9">
        <f t="shared" si="0"/>
        <v>0.31067961165048541</v>
      </c>
      <c r="F44" s="10">
        <f t="shared" si="1"/>
        <v>119.55</v>
      </c>
      <c r="G44" s="11">
        <f t="shared" si="2"/>
        <v>0.16067961165048542</v>
      </c>
      <c r="H44" s="12">
        <f t="shared" si="3"/>
        <v>15.450000000000003</v>
      </c>
      <c r="I44" s="12">
        <f t="shared" si="4"/>
        <v>16.549999999999997</v>
      </c>
      <c r="J44" s="8">
        <f t="shared" si="5"/>
        <v>32</v>
      </c>
    </row>
    <row r="45" spans="1:10" x14ac:dyDescent="0.3">
      <c r="A45" s="3" t="s">
        <v>46</v>
      </c>
      <c r="B45" s="8" t="s">
        <v>3</v>
      </c>
      <c r="C45" s="6">
        <v>58</v>
      </c>
      <c r="D45" s="8">
        <v>77</v>
      </c>
      <c r="E45" s="9">
        <f t="shared" si="0"/>
        <v>0.32758620689655171</v>
      </c>
      <c r="F45" s="10">
        <f t="shared" si="1"/>
        <v>68.3</v>
      </c>
      <c r="G45" s="11">
        <f t="shared" si="2"/>
        <v>0.17758620689655172</v>
      </c>
      <c r="H45" s="12">
        <f t="shared" si="3"/>
        <v>8.7000000000000028</v>
      </c>
      <c r="I45" s="12">
        <f t="shared" si="4"/>
        <v>10.299999999999997</v>
      </c>
      <c r="J45" s="8">
        <f t="shared" si="5"/>
        <v>19</v>
      </c>
    </row>
    <row r="46" spans="1:10" x14ac:dyDescent="0.3">
      <c r="A46" s="3" t="s">
        <v>47</v>
      </c>
      <c r="B46" s="8" t="s">
        <v>3</v>
      </c>
      <c r="C46" s="6">
        <v>295</v>
      </c>
      <c r="D46" s="8">
        <v>390</v>
      </c>
      <c r="E46" s="9">
        <f t="shared" si="0"/>
        <v>0.32203389830508472</v>
      </c>
      <c r="F46" s="10">
        <f t="shared" si="1"/>
        <v>345.75</v>
      </c>
      <c r="G46" s="11">
        <f t="shared" si="2"/>
        <v>0.17203389830508473</v>
      </c>
      <c r="H46" s="12">
        <f t="shared" si="3"/>
        <v>44.25</v>
      </c>
      <c r="I46" s="12">
        <f t="shared" si="4"/>
        <v>50.75</v>
      </c>
      <c r="J46" s="8">
        <f t="shared" si="5"/>
        <v>95</v>
      </c>
    </row>
    <row r="47" spans="1:10" x14ac:dyDescent="0.3">
      <c r="A47" s="3" t="s">
        <v>48</v>
      </c>
      <c r="B47" s="8" t="s">
        <v>3</v>
      </c>
      <c r="C47" s="6">
        <v>63</v>
      </c>
      <c r="D47" s="8">
        <v>84</v>
      </c>
      <c r="E47" s="9">
        <f t="shared" si="0"/>
        <v>0.33333333333333331</v>
      </c>
      <c r="F47" s="10">
        <f t="shared" si="1"/>
        <v>74.55</v>
      </c>
      <c r="G47" s="11">
        <f t="shared" si="2"/>
        <v>0.18333333333333332</v>
      </c>
      <c r="H47" s="12">
        <f t="shared" si="3"/>
        <v>9.4500000000000028</v>
      </c>
      <c r="I47" s="12">
        <f t="shared" si="4"/>
        <v>11.549999999999997</v>
      </c>
      <c r="J47" s="8">
        <f t="shared" si="5"/>
        <v>21</v>
      </c>
    </row>
    <row r="48" spans="1:10" x14ac:dyDescent="0.3">
      <c r="A48" s="3" t="s">
        <v>49</v>
      </c>
      <c r="B48" s="8" t="s">
        <v>3</v>
      </c>
      <c r="C48" s="6">
        <v>94</v>
      </c>
      <c r="D48" s="8">
        <v>125</v>
      </c>
      <c r="E48" s="9">
        <f t="shared" si="0"/>
        <v>0.32978723404255317</v>
      </c>
      <c r="F48" s="10">
        <f t="shared" si="1"/>
        <v>110.9</v>
      </c>
      <c r="G48" s="11">
        <f t="shared" si="2"/>
        <v>0.17978723404255317</v>
      </c>
      <c r="H48" s="12">
        <f t="shared" si="3"/>
        <v>14.099999999999994</v>
      </c>
      <c r="I48" s="12">
        <f t="shared" si="4"/>
        <v>16.900000000000006</v>
      </c>
      <c r="J48" s="8">
        <f t="shared" si="5"/>
        <v>31</v>
      </c>
    </row>
    <row r="49" spans="1:10" x14ac:dyDescent="0.3">
      <c r="A49" s="3" t="s">
        <v>50</v>
      </c>
      <c r="B49" s="8" t="s">
        <v>3</v>
      </c>
      <c r="C49" s="6">
        <v>90</v>
      </c>
      <c r="D49" s="8">
        <v>120</v>
      </c>
      <c r="E49" s="9">
        <f t="shared" si="0"/>
        <v>0.33333333333333331</v>
      </c>
      <c r="F49" s="10">
        <f t="shared" si="1"/>
        <v>106.5</v>
      </c>
      <c r="G49" s="11">
        <f t="shared" si="2"/>
        <v>0.18333333333333332</v>
      </c>
      <c r="H49" s="12">
        <f t="shared" si="3"/>
        <v>13.5</v>
      </c>
      <c r="I49" s="12">
        <f t="shared" si="4"/>
        <v>16.5</v>
      </c>
      <c r="J49" s="8">
        <f t="shared" si="5"/>
        <v>30</v>
      </c>
    </row>
    <row r="50" spans="1:10" x14ac:dyDescent="0.3">
      <c r="A50" s="3" t="s">
        <v>51</v>
      </c>
      <c r="B50" s="8" t="s">
        <v>3</v>
      </c>
      <c r="C50" s="6">
        <v>90</v>
      </c>
      <c r="D50" s="8">
        <v>120</v>
      </c>
      <c r="E50" s="9">
        <f t="shared" si="0"/>
        <v>0.33333333333333331</v>
      </c>
      <c r="F50" s="10">
        <f t="shared" si="1"/>
        <v>106.5</v>
      </c>
      <c r="G50" s="11">
        <f t="shared" si="2"/>
        <v>0.18333333333333332</v>
      </c>
      <c r="H50" s="12">
        <f t="shared" si="3"/>
        <v>13.5</v>
      </c>
      <c r="I50" s="12">
        <f t="shared" si="4"/>
        <v>16.5</v>
      </c>
      <c r="J50" s="8">
        <f t="shared" si="5"/>
        <v>30</v>
      </c>
    </row>
    <row r="51" spans="1:10" x14ac:dyDescent="0.3">
      <c r="A51" s="3" t="s">
        <v>52</v>
      </c>
      <c r="B51" s="8" t="s">
        <v>3</v>
      </c>
      <c r="C51" s="6">
        <v>45</v>
      </c>
      <c r="D51" s="8">
        <v>60</v>
      </c>
      <c r="E51" s="9">
        <f t="shared" si="0"/>
        <v>0.33333333333333331</v>
      </c>
      <c r="F51" s="10">
        <f t="shared" si="1"/>
        <v>53.25</v>
      </c>
      <c r="G51" s="11">
        <f t="shared" si="2"/>
        <v>0.18333333333333332</v>
      </c>
      <c r="H51" s="12">
        <f t="shared" si="3"/>
        <v>6.75</v>
      </c>
      <c r="I51" s="12">
        <f t="shared" si="4"/>
        <v>8.25</v>
      </c>
      <c r="J51" s="8">
        <f t="shared" si="5"/>
        <v>15</v>
      </c>
    </row>
    <row r="52" spans="1:10" x14ac:dyDescent="0.3">
      <c r="A52" s="3" t="s">
        <v>53</v>
      </c>
      <c r="B52" s="8" t="s">
        <v>3</v>
      </c>
      <c r="C52" s="6">
        <v>415</v>
      </c>
      <c r="D52" s="8">
        <v>545</v>
      </c>
      <c r="E52" s="9">
        <f t="shared" si="0"/>
        <v>0.31325301204819278</v>
      </c>
      <c r="F52" s="10">
        <f t="shared" si="1"/>
        <v>482.75</v>
      </c>
      <c r="G52" s="11">
        <f t="shared" si="2"/>
        <v>0.16325301204819279</v>
      </c>
      <c r="H52" s="12">
        <f t="shared" si="3"/>
        <v>62.25</v>
      </c>
      <c r="I52" s="12">
        <f t="shared" si="4"/>
        <v>67.75</v>
      </c>
      <c r="J52" s="8">
        <f t="shared" si="5"/>
        <v>130</v>
      </c>
    </row>
    <row r="53" spans="1:10" x14ac:dyDescent="0.3">
      <c r="A53" s="3" t="s">
        <v>54</v>
      </c>
      <c r="B53" s="8" t="s">
        <v>3</v>
      </c>
      <c r="C53" s="6">
        <v>60</v>
      </c>
      <c r="D53" s="8">
        <v>80</v>
      </c>
      <c r="E53" s="9">
        <f t="shared" si="0"/>
        <v>0.33333333333333331</v>
      </c>
      <c r="F53" s="10">
        <f t="shared" si="1"/>
        <v>71</v>
      </c>
      <c r="G53" s="11">
        <f t="shared" si="2"/>
        <v>0.18333333333333332</v>
      </c>
      <c r="H53" s="12">
        <f t="shared" si="3"/>
        <v>9</v>
      </c>
      <c r="I53" s="12">
        <f t="shared" si="4"/>
        <v>11</v>
      </c>
      <c r="J53" s="8">
        <f t="shared" si="5"/>
        <v>20</v>
      </c>
    </row>
    <row r="54" spans="1:10" x14ac:dyDescent="0.3">
      <c r="A54" s="3" t="s">
        <v>55</v>
      </c>
      <c r="B54" s="8" t="s">
        <v>3</v>
      </c>
      <c r="C54" s="6">
        <v>360</v>
      </c>
      <c r="D54" s="8">
        <v>470</v>
      </c>
      <c r="E54" s="9">
        <f t="shared" si="0"/>
        <v>0.30555555555555558</v>
      </c>
      <c r="F54" s="10">
        <f t="shared" si="1"/>
        <v>416</v>
      </c>
      <c r="G54" s="11">
        <f t="shared" si="2"/>
        <v>0.15555555555555559</v>
      </c>
      <c r="H54" s="12">
        <f t="shared" si="3"/>
        <v>54</v>
      </c>
      <c r="I54" s="12">
        <f t="shared" si="4"/>
        <v>56</v>
      </c>
      <c r="J54" s="8">
        <f t="shared" si="5"/>
        <v>110</v>
      </c>
    </row>
    <row r="55" spans="1:10" x14ac:dyDescent="0.3">
      <c r="A55" s="3" t="s">
        <v>56</v>
      </c>
      <c r="B55" s="8" t="s">
        <v>3</v>
      </c>
      <c r="C55" s="6">
        <v>118</v>
      </c>
      <c r="D55" s="8">
        <v>155</v>
      </c>
      <c r="E55" s="9">
        <f t="shared" si="0"/>
        <v>0.3135593220338983</v>
      </c>
      <c r="F55" s="10">
        <f t="shared" si="1"/>
        <v>137.30000000000001</v>
      </c>
      <c r="G55" s="11">
        <f t="shared" si="2"/>
        <v>0.16355932203389831</v>
      </c>
      <c r="H55" s="12">
        <f t="shared" si="3"/>
        <v>17.699999999999989</v>
      </c>
      <c r="I55" s="12">
        <f t="shared" si="4"/>
        <v>19.300000000000011</v>
      </c>
      <c r="J55" s="8">
        <f t="shared" si="5"/>
        <v>37</v>
      </c>
    </row>
    <row r="56" spans="1:10" x14ac:dyDescent="0.3">
      <c r="A56" s="3" t="s">
        <v>57</v>
      </c>
      <c r="B56" s="8" t="s">
        <v>3</v>
      </c>
      <c r="C56" s="6">
        <v>300</v>
      </c>
      <c r="D56" s="8">
        <v>395</v>
      </c>
      <c r="E56" s="9">
        <f t="shared" si="0"/>
        <v>0.31666666666666665</v>
      </c>
      <c r="F56" s="10">
        <f t="shared" si="1"/>
        <v>350</v>
      </c>
      <c r="G56" s="11">
        <f t="shared" si="2"/>
        <v>0.16666666666666666</v>
      </c>
      <c r="H56" s="12">
        <f t="shared" si="3"/>
        <v>45</v>
      </c>
      <c r="I56" s="12">
        <f t="shared" si="4"/>
        <v>50</v>
      </c>
      <c r="J56" s="8">
        <f t="shared" si="5"/>
        <v>95</v>
      </c>
    </row>
    <row r="57" spans="1:10" x14ac:dyDescent="0.3">
      <c r="A57" s="3" t="s">
        <v>58</v>
      </c>
      <c r="B57" s="8" t="s">
        <v>3</v>
      </c>
      <c r="C57" s="6">
        <v>88</v>
      </c>
      <c r="D57" s="8">
        <v>115</v>
      </c>
      <c r="E57" s="9">
        <f t="shared" si="0"/>
        <v>0.30681818181818182</v>
      </c>
      <c r="F57" s="10">
        <f t="shared" si="1"/>
        <v>101.8</v>
      </c>
      <c r="G57" s="11">
        <f t="shared" si="2"/>
        <v>0.15681818181818183</v>
      </c>
      <c r="H57" s="12">
        <f t="shared" si="3"/>
        <v>13.200000000000003</v>
      </c>
      <c r="I57" s="12">
        <f t="shared" si="4"/>
        <v>13.799999999999997</v>
      </c>
      <c r="J57" s="8">
        <f t="shared" si="5"/>
        <v>27</v>
      </c>
    </row>
    <row r="58" spans="1:10" x14ac:dyDescent="0.3">
      <c r="A58" s="3" t="s">
        <v>59</v>
      </c>
      <c r="B58" s="8" t="s">
        <v>3</v>
      </c>
      <c r="C58" s="6">
        <v>143</v>
      </c>
      <c r="D58" s="8">
        <v>190</v>
      </c>
      <c r="E58" s="9">
        <f t="shared" si="0"/>
        <v>0.32867132867132864</v>
      </c>
      <c r="F58" s="10">
        <f t="shared" si="1"/>
        <v>168.55</v>
      </c>
      <c r="G58" s="11">
        <f t="shared" si="2"/>
        <v>0.17867132867132865</v>
      </c>
      <c r="H58" s="12">
        <f t="shared" si="3"/>
        <v>21.449999999999989</v>
      </c>
      <c r="I58" s="12">
        <f t="shared" si="4"/>
        <v>25.550000000000011</v>
      </c>
      <c r="J58" s="8">
        <f t="shared" si="5"/>
        <v>47</v>
      </c>
    </row>
    <row r="59" spans="1:10" x14ac:dyDescent="0.3">
      <c r="A59" s="3" t="s">
        <v>60</v>
      </c>
      <c r="B59" s="8" t="s">
        <v>3</v>
      </c>
      <c r="C59" s="6">
        <v>66</v>
      </c>
      <c r="D59" s="8">
        <v>88</v>
      </c>
      <c r="E59" s="9">
        <f t="shared" si="0"/>
        <v>0.33333333333333331</v>
      </c>
      <c r="F59" s="10">
        <f t="shared" si="1"/>
        <v>78.099999999999994</v>
      </c>
      <c r="G59" s="11">
        <f t="shared" si="2"/>
        <v>0.18333333333333332</v>
      </c>
      <c r="H59" s="12">
        <f t="shared" si="3"/>
        <v>9.9000000000000057</v>
      </c>
      <c r="I59" s="12">
        <f t="shared" si="4"/>
        <v>12.099999999999994</v>
      </c>
      <c r="J59" s="8">
        <f t="shared" si="5"/>
        <v>22</v>
      </c>
    </row>
    <row r="60" spans="1:10" x14ac:dyDescent="0.3">
      <c r="A60" s="3" t="s">
        <v>61</v>
      </c>
      <c r="B60" s="8" t="s">
        <v>3</v>
      </c>
      <c r="C60" s="6">
        <v>68</v>
      </c>
      <c r="D60" s="8">
        <v>90</v>
      </c>
      <c r="E60" s="9">
        <f t="shared" si="0"/>
        <v>0.3235294117647059</v>
      </c>
      <c r="F60" s="10">
        <f t="shared" si="1"/>
        <v>79.8</v>
      </c>
      <c r="G60" s="11">
        <f t="shared" si="2"/>
        <v>0.1735294117647059</v>
      </c>
      <c r="H60" s="12">
        <f t="shared" si="3"/>
        <v>10.200000000000003</v>
      </c>
      <c r="I60" s="12">
        <f t="shared" si="4"/>
        <v>11.799999999999997</v>
      </c>
      <c r="J60" s="8">
        <f t="shared" si="5"/>
        <v>22</v>
      </c>
    </row>
    <row r="61" spans="1:10" x14ac:dyDescent="0.3">
      <c r="A61" s="3" t="s">
        <v>62</v>
      </c>
      <c r="B61" s="8" t="s">
        <v>3</v>
      </c>
      <c r="C61" s="6">
        <v>103</v>
      </c>
      <c r="D61" s="8">
        <v>135</v>
      </c>
      <c r="E61" s="9">
        <f t="shared" si="0"/>
        <v>0.31067961165048541</v>
      </c>
      <c r="F61" s="10">
        <f t="shared" si="1"/>
        <v>119.55</v>
      </c>
      <c r="G61" s="11">
        <f t="shared" si="2"/>
        <v>0.16067961165048542</v>
      </c>
      <c r="H61" s="12">
        <f t="shared" si="3"/>
        <v>15.450000000000003</v>
      </c>
      <c r="I61" s="12">
        <f t="shared" si="4"/>
        <v>16.549999999999997</v>
      </c>
      <c r="J61" s="8">
        <f t="shared" si="5"/>
        <v>32</v>
      </c>
    </row>
    <row r="62" spans="1:10" x14ac:dyDescent="0.3">
      <c r="A62" s="3" t="s">
        <v>63</v>
      </c>
      <c r="B62" s="8" t="s">
        <v>3</v>
      </c>
      <c r="C62" s="6">
        <v>113</v>
      </c>
      <c r="D62" s="8">
        <v>150</v>
      </c>
      <c r="E62" s="9">
        <f t="shared" si="0"/>
        <v>0.32743362831858408</v>
      </c>
      <c r="F62" s="10">
        <f t="shared" si="1"/>
        <v>133.05000000000001</v>
      </c>
      <c r="G62" s="11">
        <f t="shared" si="2"/>
        <v>0.17743362831858409</v>
      </c>
      <c r="H62" s="12">
        <f t="shared" si="3"/>
        <v>16.949999999999989</v>
      </c>
      <c r="I62" s="12">
        <f t="shared" si="4"/>
        <v>20.050000000000011</v>
      </c>
      <c r="J62" s="8">
        <f t="shared" si="5"/>
        <v>37</v>
      </c>
    </row>
    <row r="63" spans="1:10" x14ac:dyDescent="0.3">
      <c r="A63" s="3" t="s">
        <v>64</v>
      </c>
      <c r="B63" s="8" t="s">
        <v>3</v>
      </c>
      <c r="C63" s="6">
        <v>78</v>
      </c>
      <c r="D63" s="8">
        <v>105</v>
      </c>
      <c r="E63" s="9">
        <f t="shared" si="0"/>
        <v>0.34615384615384615</v>
      </c>
      <c r="F63" s="10">
        <f t="shared" si="1"/>
        <v>93.3</v>
      </c>
      <c r="G63" s="11">
        <f t="shared" si="2"/>
        <v>0.19615384615384615</v>
      </c>
      <c r="H63" s="12">
        <f t="shared" si="3"/>
        <v>11.700000000000003</v>
      </c>
      <c r="I63" s="12">
        <f t="shared" si="4"/>
        <v>15.299999999999997</v>
      </c>
      <c r="J63" s="8">
        <f t="shared" si="5"/>
        <v>27</v>
      </c>
    </row>
    <row r="64" spans="1:10" x14ac:dyDescent="0.3">
      <c r="A64" s="3" t="s">
        <v>65</v>
      </c>
      <c r="B64" s="8" t="s">
        <v>3</v>
      </c>
      <c r="C64" s="6">
        <v>185</v>
      </c>
      <c r="D64" s="8">
        <v>245</v>
      </c>
      <c r="E64" s="9">
        <f t="shared" si="0"/>
        <v>0.32432432432432434</v>
      </c>
      <c r="F64" s="10">
        <f t="shared" si="1"/>
        <v>217.25</v>
      </c>
      <c r="G64" s="11">
        <f t="shared" si="2"/>
        <v>0.17432432432432435</v>
      </c>
      <c r="H64" s="12">
        <f t="shared" si="3"/>
        <v>27.75</v>
      </c>
      <c r="I64" s="12">
        <f t="shared" si="4"/>
        <v>32.25</v>
      </c>
      <c r="J64" s="8">
        <f t="shared" si="5"/>
        <v>60</v>
      </c>
    </row>
    <row r="65" spans="1:10" x14ac:dyDescent="0.3">
      <c r="A65" s="3" t="s">
        <v>66</v>
      </c>
      <c r="B65" s="8" t="s">
        <v>3</v>
      </c>
      <c r="C65" s="6">
        <v>315</v>
      </c>
      <c r="D65" s="8">
        <v>415</v>
      </c>
      <c r="E65" s="9">
        <f t="shared" si="0"/>
        <v>0.31746031746031744</v>
      </c>
      <c r="F65" s="10">
        <f t="shared" si="1"/>
        <v>367.75</v>
      </c>
      <c r="G65" s="11">
        <f t="shared" si="2"/>
        <v>0.16746031746031745</v>
      </c>
      <c r="H65" s="12">
        <f t="shared" si="3"/>
        <v>47.25</v>
      </c>
      <c r="I65" s="12">
        <f t="shared" si="4"/>
        <v>52.75</v>
      </c>
      <c r="J65" s="8">
        <f t="shared" si="5"/>
        <v>100</v>
      </c>
    </row>
    <row r="66" spans="1:10" x14ac:dyDescent="0.3">
      <c r="A66" s="3" t="s">
        <v>67</v>
      </c>
      <c r="B66" s="8" t="s">
        <v>3</v>
      </c>
      <c r="C66" s="6">
        <v>60</v>
      </c>
      <c r="D66" s="8">
        <v>80</v>
      </c>
      <c r="E66" s="9">
        <f t="shared" si="0"/>
        <v>0.33333333333333331</v>
      </c>
      <c r="F66" s="10">
        <f t="shared" si="1"/>
        <v>71</v>
      </c>
      <c r="G66" s="11">
        <f t="shared" si="2"/>
        <v>0.18333333333333332</v>
      </c>
      <c r="H66" s="12">
        <f t="shared" si="3"/>
        <v>9</v>
      </c>
      <c r="I66" s="12">
        <f t="shared" si="4"/>
        <v>11</v>
      </c>
      <c r="J66" s="8">
        <f t="shared" si="5"/>
        <v>20</v>
      </c>
    </row>
    <row r="67" spans="1:10" x14ac:dyDescent="0.3">
      <c r="A67" s="3" t="s">
        <v>68</v>
      </c>
      <c r="B67" s="8" t="s">
        <v>3</v>
      </c>
      <c r="C67" s="6">
        <v>690</v>
      </c>
      <c r="D67" s="8">
        <v>905</v>
      </c>
      <c r="E67" s="9">
        <f t="shared" ref="E67:E130" si="6">((D67-C67)/C67)</f>
        <v>0.31159420289855072</v>
      </c>
      <c r="F67" s="10">
        <f t="shared" ref="F67:F130" si="7">C67+C67*G67</f>
        <v>801.5</v>
      </c>
      <c r="G67" s="11">
        <f t="shared" ref="G67:G130" si="8">E67-15%</f>
        <v>0.16159420289855073</v>
      </c>
      <c r="H67" s="12">
        <f t="shared" ref="H67:H130" si="9">D67-F67</f>
        <v>103.5</v>
      </c>
      <c r="I67" s="12">
        <f t="shared" ref="I67:I130" si="10">F67-C67</f>
        <v>111.5</v>
      </c>
      <c r="J67" s="8">
        <f t="shared" ref="J67:J130" si="11">D67-C67</f>
        <v>215</v>
      </c>
    </row>
    <row r="68" spans="1:10" x14ac:dyDescent="0.3">
      <c r="A68" s="3" t="s">
        <v>69</v>
      </c>
      <c r="B68" s="8" t="s">
        <v>3</v>
      </c>
      <c r="C68" s="6">
        <v>200</v>
      </c>
      <c r="D68" s="8">
        <v>265</v>
      </c>
      <c r="E68" s="9">
        <f t="shared" si="6"/>
        <v>0.32500000000000001</v>
      </c>
      <c r="F68" s="10">
        <f t="shared" si="7"/>
        <v>235</v>
      </c>
      <c r="G68" s="11">
        <f t="shared" si="8"/>
        <v>0.17500000000000002</v>
      </c>
      <c r="H68" s="12">
        <f t="shared" si="9"/>
        <v>30</v>
      </c>
      <c r="I68" s="12">
        <f t="shared" si="10"/>
        <v>35</v>
      </c>
      <c r="J68" s="8">
        <f t="shared" si="11"/>
        <v>65</v>
      </c>
    </row>
    <row r="69" spans="1:10" x14ac:dyDescent="0.3">
      <c r="A69" s="3" t="s">
        <v>70</v>
      </c>
      <c r="B69" s="8" t="s">
        <v>3</v>
      </c>
      <c r="C69" s="6">
        <v>72</v>
      </c>
      <c r="D69" s="8">
        <v>95</v>
      </c>
      <c r="E69" s="9">
        <f t="shared" si="6"/>
        <v>0.31944444444444442</v>
      </c>
      <c r="F69" s="10">
        <f t="shared" si="7"/>
        <v>84.2</v>
      </c>
      <c r="G69" s="11">
        <f t="shared" si="8"/>
        <v>0.16944444444444443</v>
      </c>
      <c r="H69" s="12">
        <f t="shared" si="9"/>
        <v>10.799999999999997</v>
      </c>
      <c r="I69" s="12">
        <f t="shared" si="10"/>
        <v>12.200000000000003</v>
      </c>
      <c r="J69" s="8">
        <f t="shared" si="11"/>
        <v>23</v>
      </c>
    </row>
    <row r="70" spans="1:10" x14ac:dyDescent="0.3">
      <c r="A70" s="3" t="s">
        <v>71</v>
      </c>
      <c r="B70" s="8" t="s">
        <v>3</v>
      </c>
      <c r="C70" s="6">
        <v>145</v>
      </c>
      <c r="D70" s="8">
        <v>190</v>
      </c>
      <c r="E70" s="9">
        <f t="shared" si="6"/>
        <v>0.31034482758620691</v>
      </c>
      <c r="F70" s="10">
        <f t="shared" si="7"/>
        <v>168.25</v>
      </c>
      <c r="G70" s="11">
        <f t="shared" si="8"/>
        <v>0.16034482758620691</v>
      </c>
      <c r="H70" s="12">
        <f t="shared" si="9"/>
        <v>21.75</v>
      </c>
      <c r="I70" s="12">
        <f t="shared" si="10"/>
        <v>23.25</v>
      </c>
      <c r="J70" s="8">
        <f t="shared" si="11"/>
        <v>45</v>
      </c>
    </row>
    <row r="71" spans="1:10" x14ac:dyDescent="0.3">
      <c r="A71" s="3" t="s">
        <v>72</v>
      </c>
      <c r="B71" s="8" t="s">
        <v>73</v>
      </c>
      <c r="C71" s="6">
        <v>165</v>
      </c>
      <c r="D71" s="8">
        <v>220</v>
      </c>
      <c r="E71" s="9">
        <f t="shared" si="6"/>
        <v>0.33333333333333331</v>
      </c>
      <c r="F71" s="10">
        <f t="shared" si="7"/>
        <v>195.25</v>
      </c>
      <c r="G71" s="11">
        <f t="shared" si="8"/>
        <v>0.18333333333333332</v>
      </c>
      <c r="H71" s="12">
        <f t="shared" si="9"/>
        <v>24.75</v>
      </c>
      <c r="I71" s="12">
        <f t="shared" si="10"/>
        <v>30.25</v>
      </c>
      <c r="J71" s="8">
        <f t="shared" si="11"/>
        <v>55</v>
      </c>
    </row>
    <row r="72" spans="1:10" x14ac:dyDescent="0.3">
      <c r="A72" s="3" t="s">
        <v>74</v>
      </c>
      <c r="B72" s="8" t="s">
        <v>3</v>
      </c>
      <c r="C72" s="6">
        <v>44</v>
      </c>
      <c r="D72" s="8">
        <v>59</v>
      </c>
      <c r="E72" s="9">
        <f t="shared" si="6"/>
        <v>0.34090909090909088</v>
      </c>
      <c r="F72" s="10">
        <f t="shared" si="7"/>
        <v>52.4</v>
      </c>
      <c r="G72" s="11">
        <f t="shared" si="8"/>
        <v>0.19090909090909089</v>
      </c>
      <c r="H72" s="12">
        <f t="shared" si="9"/>
        <v>6.6000000000000014</v>
      </c>
      <c r="I72" s="12">
        <f t="shared" si="10"/>
        <v>8.3999999999999986</v>
      </c>
      <c r="J72" s="8">
        <f t="shared" si="11"/>
        <v>15</v>
      </c>
    </row>
    <row r="73" spans="1:10" x14ac:dyDescent="0.3">
      <c r="A73" s="3" t="s">
        <v>75</v>
      </c>
      <c r="B73" s="8" t="s">
        <v>3</v>
      </c>
      <c r="C73" s="6">
        <v>40</v>
      </c>
      <c r="D73" s="8">
        <v>53</v>
      </c>
      <c r="E73" s="9">
        <f t="shared" si="6"/>
        <v>0.32500000000000001</v>
      </c>
      <c r="F73" s="10">
        <f t="shared" si="7"/>
        <v>47</v>
      </c>
      <c r="G73" s="11">
        <f t="shared" si="8"/>
        <v>0.17500000000000002</v>
      </c>
      <c r="H73" s="12">
        <f t="shared" si="9"/>
        <v>6</v>
      </c>
      <c r="I73" s="12">
        <f t="shared" si="10"/>
        <v>7</v>
      </c>
      <c r="J73" s="8">
        <f t="shared" si="11"/>
        <v>13</v>
      </c>
    </row>
    <row r="74" spans="1:10" x14ac:dyDescent="0.3">
      <c r="A74" s="3" t="s">
        <v>76</v>
      </c>
      <c r="B74" s="8" t="s">
        <v>3</v>
      </c>
      <c r="C74" s="6">
        <v>27</v>
      </c>
      <c r="D74" s="8">
        <v>36</v>
      </c>
      <c r="E74" s="9">
        <f t="shared" si="6"/>
        <v>0.33333333333333331</v>
      </c>
      <c r="F74" s="10">
        <f t="shared" si="7"/>
        <v>31.95</v>
      </c>
      <c r="G74" s="11">
        <f t="shared" si="8"/>
        <v>0.18333333333333332</v>
      </c>
      <c r="H74" s="12">
        <f t="shared" si="9"/>
        <v>4.0500000000000007</v>
      </c>
      <c r="I74" s="12">
        <f t="shared" si="10"/>
        <v>4.9499999999999993</v>
      </c>
      <c r="J74" s="8">
        <f t="shared" si="11"/>
        <v>9</v>
      </c>
    </row>
    <row r="75" spans="1:10" x14ac:dyDescent="0.3">
      <c r="A75" s="3" t="s">
        <v>77</v>
      </c>
      <c r="B75" s="8" t="s">
        <v>3</v>
      </c>
      <c r="C75" s="6">
        <v>70</v>
      </c>
      <c r="D75" s="8">
        <v>93</v>
      </c>
      <c r="E75" s="9">
        <f t="shared" si="6"/>
        <v>0.32857142857142857</v>
      </c>
      <c r="F75" s="10">
        <f t="shared" si="7"/>
        <v>82.5</v>
      </c>
      <c r="G75" s="11">
        <f t="shared" si="8"/>
        <v>0.17857142857142858</v>
      </c>
      <c r="H75" s="12">
        <f t="shared" si="9"/>
        <v>10.5</v>
      </c>
      <c r="I75" s="12">
        <f t="shared" si="10"/>
        <v>12.5</v>
      </c>
      <c r="J75" s="8">
        <f t="shared" si="11"/>
        <v>23</v>
      </c>
    </row>
    <row r="76" spans="1:10" x14ac:dyDescent="0.3">
      <c r="A76" s="3" t="s">
        <v>78</v>
      </c>
      <c r="B76" s="8" t="s">
        <v>3</v>
      </c>
      <c r="C76" s="6">
        <v>290</v>
      </c>
      <c r="D76" s="8">
        <v>380</v>
      </c>
      <c r="E76" s="9">
        <f t="shared" si="6"/>
        <v>0.31034482758620691</v>
      </c>
      <c r="F76" s="10">
        <f t="shared" si="7"/>
        <v>336.5</v>
      </c>
      <c r="G76" s="11">
        <f t="shared" si="8"/>
        <v>0.16034482758620691</v>
      </c>
      <c r="H76" s="12">
        <f t="shared" si="9"/>
        <v>43.5</v>
      </c>
      <c r="I76" s="12">
        <f t="shared" si="10"/>
        <v>46.5</v>
      </c>
      <c r="J76" s="8">
        <f t="shared" si="11"/>
        <v>90</v>
      </c>
    </row>
    <row r="77" spans="1:10" x14ac:dyDescent="0.3">
      <c r="A77" s="3" t="s">
        <v>79</v>
      </c>
      <c r="B77" s="8" t="s">
        <v>3</v>
      </c>
      <c r="C77" s="6">
        <v>68</v>
      </c>
      <c r="D77" s="8">
        <v>90</v>
      </c>
      <c r="E77" s="9">
        <f t="shared" si="6"/>
        <v>0.3235294117647059</v>
      </c>
      <c r="F77" s="10">
        <f t="shared" si="7"/>
        <v>79.8</v>
      </c>
      <c r="G77" s="11">
        <f t="shared" si="8"/>
        <v>0.1735294117647059</v>
      </c>
      <c r="H77" s="12">
        <f t="shared" si="9"/>
        <v>10.200000000000003</v>
      </c>
      <c r="I77" s="12">
        <f t="shared" si="10"/>
        <v>11.799999999999997</v>
      </c>
      <c r="J77" s="8">
        <f t="shared" si="11"/>
        <v>22</v>
      </c>
    </row>
    <row r="78" spans="1:10" x14ac:dyDescent="0.3">
      <c r="A78" s="3" t="s">
        <v>80</v>
      </c>
      <c r="B78" s="8" t="s">
        <v>3</v>
      </c>
      <c r="C78" s="6">
        <v>240</v>
      </c>
      <c r="D78" s="8">
        <v>315</v>
      </c>
      <c r="E78" s="9">
        <f t="shared" si="6"/>
        <v>0.3125</v>
      </c>
      <c r="F78" s="10">
        <f t="shared" si="7"/>
        <v>279</v>
      </c>
      <c r="G78" s="11">
        <f t="shared" si="8"/>
        <v>0.16250000000000001</v>
      </c>
      <c r="H78" s="12">
        <f t="shared" si="9"/>
        <v>36</v>
      </c>
      <c r="I78" s="12">
        <f t="shared" si="10"/>
        <v>39</v>
      </c>
      <c r="J78" s="8">
        <f t="shared" si="11"/>
        <v>75</v>
      </c>
    </row>
    <row r="79" spans="1:10" x14ac:dyDescent="0.3">
      <c r="A79" s="3" t="s">
        <v>81</v>
      </c>
      <c r="B79" s="8" t="s">
        <v>3</v>
      </c>
      <c r="C79" s="6">
        <v>83</v>
      </c>
      <c r="D79" s="8">
        <v>110</v>
      </c>
      <c r="E79" s="9">
        <f t="shared" si="6"/>
        <v>0.3253012048192771</v>
      </c>
      <c r="F79" s="10">
        <f t="shared" si="7"/>
        <v>97.55</v>
      </c>
      <c r="G79" s="11">
        <f t="shared" si="8"/>
        <v>0.17530120481927711</v>
      </c>
      <c r="H79" s="12">
        <f t="shared" si="9"/>
        <v>12.450000000000003</v>
      </c>
      <c r="I79" s="12">
        <f t="shared" si="10"/>
        <v>14.549999999999997</v>
      </c>
      <c r="J79" s="8">
        <f t="shared" si="11"/>
        <v>27</v>
      </c>
    </row>
    <row r="80" spans="1:10" x14ac:dyDescent="0.3">
      <c r="A80" s="3" t="s">
        <v>82</v>
      </c>
      <c r="B80" s="8" t="s">
        <v>3</v>
      </c>
      <c r="C80" s="6">
        <v>225</v>
      </c>
      <c r="D80" s="8">
        <v>295</v>
      </c>
      <c r="E80" s="9">
        <f t="shared" si="6"/>
        <v>0.31111111111111112</v>
      </c>
      <c r="F80" s="10">
        <f t="shared" si="7"/>
        <v>261.25</v>
      </c>
      <c r="G80" s="11">
        <f t="shared" si="8"/>
        <v>0.16111111111111112</v>
      </c>
      <c r="H80" s="12">
        <f t="shared" si="9"/>
        <v>33.75</v>
      </c>
      <c r="I80" s="12">
        <f t="shared" si="10"/>
        <v>36.25</v>
      </c>
      <c r="J80" s="8">
        <f t="shared" si="11"/>
        <v>70</v>
      </c>
    </row>
    <row r="81" spans="1:10" x14ac:dyDescent="0.3">
      <c r="A81" s="3" t="s">
        <v>83</v>
      </c>
      <c r="B81" s="8" t="s">
        <v>3</v>
      </c>
      <c r="C81" s="6">
        <v>260</v>
      </c>
      <c r="D81" s="8" t="s">
        <v>146</v>
      </c>
      <c r="E81" s="9" t="e">
        <f t="shared" si="6"/>
        <v>#VALUE!</v>
      </c>
      <c r="F81" s="10" t="e">
        <f t="shared" si="7"/>
        <v>#VALUE!</v>
      </c>
      <c r="G81" s="11" t="e">
        <f t="shared" si="8"/>
        <v>#VALUE!</v>
      </c>
      <c r="H81" s="12" t="e">
        <f t="shared" si="9"/>
        <v>#VALUE!</v>
      </c>
      <c r="I81" s="12" t="e">
        <f t="shared" si="10"/>
        <v>#VALUE!</v>
      </c>
      <c r="J81" s="8" t="e">
        <f t="shared" si="11"/>
        <v>#VALUE!</v>
      </c>
    </row>
    <row r="82" spans="1:10" x14ac:dyDescent="0.3">
      <c r="A82" s="3" t="s">
        <v>84</v>
      </c>
      <c r="B82" s="8" t="s">
        <v>3</v>
      </c>
      <c r="C82" s="6">
        <v>42</v>
      </c>
      <c r="D82" s="8">
        <v>56</v>
      </c>
      <c r="E82" s="9">
        <f t="shared" si="6"/>
        <v>0.33333333333333331</v>
      </c>
      <c r="F82" s="10">
        <f t="shared" si="7"/>
        <v>49.7</v>
      </c>
      <c r="G82" s="11">
        <f t="shared" si="8"/>
        <v>0.18333333333333332</v>
      </c>
      <c r="H82" s="12">
        <f t="shared" si="9"/>
        <v>6.2999999999999972</v>
      </c>
      <c r="I82" s="12">
        <f t="shared" si="10"/>
        <v>7.7000000000000028</v>
      </c>
      <c r="J82" s="8">
        <f t="shared" si="11"/>
        <v>14</v>
      </c>
    </row>
    <row r="83" spans="1:10" x14ac:dyDescent="0.3">
      <c r="A83" s="3" t="s">
        <v>85</v>
      </c>
      <c r="B83" s="8" t="s">
        <v>3</v>
      </c>
      <c r="C83" s="6">
        <v>325</v>
      </c>
      <c r="D83" s="8">
        <v>425</v>
      </c>
      <c r="E83" s="9">
        <f t="shared" si="6"/>
        <v>0.30769230769230771</v>
      </c>
      <c r="F83" s="10">
        <f t="shared" si="7"/>
        <v>376.25</v>
      </c>
      <c r="G83" s="11">
        <f t="shared" si="8"/>
        <v>0.15769230769230771</v>
      </c>
      <c r="H83" s="12">
        <f t="shared" si="9"/>
        <v>48.75</v>
      </c>
      <c r="I83" s="12">
        <f t="shared" si="10"/>
        <v>51.25</v>
      </c>
      <c r="J83" s="8">
        <f t="shared" si="11"/>
        <v>100</v>
      </c>
    </row>
    <row r="84" spans="1:10" x14ac:dyDescent="0.3">
      <c r="A84" s="3" t="s">
        <v>86</v>
      </c>
      <c r="B84" s="8" t="s">
        <v>3</v>
      </c>
      <c r="C84" s="6">
        <v>100</v>
      </c>
      <c r="D84" s="8">
        <v>132</v>
      </c>
      <c r="E84" s="9">
        <f t="shared" si="6"/>
        <v>0.32</v>
      </c>
      <c r="F84" s="10">
        <f t="shared" si="7"/>
        <v>117</v>
      </c>
      <c r="G84" s="11">
        <f t="shared" si="8"/>
        <v>0.17</v>
      </c>
      <c r="H84" s="12">
        <f t="shared" si="9"/>
        <v>15</v>
      </c>
      <c r="I84" s="12">
        <f t="shared" si="10"/>
        <v>17</v>
      </c>
      <c r="J84" s="8">
        <f t="shared" si="11"/>
        <v>32</v>
      </c>
    </row>
    <row r="85" spans="1:10" x14ac:dyDescent="0.3">
      <c r="A85" s="3" t="s">
        <v>87</v>
      </c>
      <c r="B85" s="8" t="s">
        <v>3</v>
      </c>
      <c r="C85" s="6">
        <v>270</v>
      </c>
      <c r="D85" s="8">
        <v>355</v>
      </c>
      <c r="E85" s="9">
        <f t="shared" si="6"/>
        <v>0.31481481481481483</v>
      </c>
      <c r="F85" s="10">
        <f t="shared" si="7"/>
        <v>314.5</v>
      </c>
      <c r="G85" s="11">
        <f t="shared" si="8"/>
        <v>0.16481481481481483</v>
      </c>
      <c r="H85" s="12">
        <f t="shared" si="9"/>
        <v>40.5</v>
      </c>
      <c r="I85" s="12">
        <f t="shared" si="10"/>
        <v>44.5</v>
      </c>
      <c r="J85" s="8">
        <f t="shared" si="11"/>
        <v>85</v>
      </c>
    </row>
    <row r="86" spans="1:10" x14ac:dyDescent="0.3">
      <c r="A86" s="3" t="s">
        <v>88</v>
      </c>
      <c r="B86" s="8" t="s">
        <v>3</v>
      </c>
      <c r="C86" s="6">
        <v>70</v>
      </c>
      <c r="D86" s="8">
        <v>93</v>
      </c>
      <c r="E86" s="9">
        <f t="shared" si="6"/>
        <v>0.32857142857142857</v>
      </c>
      <c r="F86" s="10">
        <f t="shared" si="7"/>
        <v>82.5</v>
      </c>
      <c r="G86" s="11">
        <f t="shared" si="8"/>
        <v>0.17857142857142858</v>
      </c>
      <c r="H86" s="12">
        <f t="shared" si="9"/>
        <v>10.5</v>
      </c>
      <c r="I86" s="12">
        <f t="shared" si="10"/>
        <v>12.5</v>
      </c>
      <c r="J86" s="8">
        <f t="shared" si="11"/>
        <v>23</v>
      </c>
    </row>
    <row r="87" spans="1:10" x14ac:dyDescent="0.3">
      <c r="A87" s="3" t="s">
        <v>89</v>
      </c>
      <c r="B87" s="8" t="s">
        <v>3</v>
      </c>
      <c r="C87" s="6">
        <v>80</v>
      </c>
      <c r="D87" s="8">
        <v>105</v>
      </c>
      <c r="E87" s="9">
        <f t="shared" si="6"/>
        <v>0.3125</v>
      </c>
      <c r="F87" s="10">
        <f t="shared" si="7"/>
        <v>93</v>
      </c>
      <c r="G87" s="11">
        <f t="shared" si="8"/>
        <v>0.16250000000000001</v>
      </c>
      <c r="H87" s="12">
        <f t="shared" si="9"/>
        <v>12</v>
      </c>
      <c r="I87" s="12">
        <f t="shared" si="10"/>
        <v>13</v>
      </c>
      <c r="J87" s="8">
        <f t="shared" si="11"/>
        <v>25</v>
      </c>
    </row>
    <row r="88" spans="1:10" x14ac:dyDescent="0.3">
      <c r="A88" s="3" t="s">
        <v>90</v>
      </c>
      <c r="B88" s="8" t="s">
        <v>3</v>
      </c>
      <c r="C88" s="6">
        <v>240</v>
      </c>
      <c r="D88" s="8">
        <v>315</v>
      </c>
      <c r="E88" s="9">
        <f t="shared" si="6"/>
        <v>0.3125</v>
      </c>
      <c r="F88" s="10">
        <f t="shared" si="7"/>
        <v>279</v>
      </c>
      <c r="G88" s="11">
        <f t="shared" si="8"/>
        <v>0.16250000000000001</v>
      </c>
      <c r="H88" s="12">
        <f t="shared" si="9"/>
        <v>36</v>
      </c>
      <c r="I88" s="12">
        <f t="shared" si="10"/>
        <v>39</v>
      </c>
      <c r="J88" s="8">
        <f t="shared" si="11"/>
        <v>75</v>
      </c>
    </row>
    <row r="89" spans="1:10" x14ac:dyDescent="0.3">
      <c r="A89" s="3" t="s">
        <v>91</v>
      </c>
      <c r="B89" s="8" t="s">
        <v>3</v>
      </c>
      <c r="C89" s="6">
        <v>225</v>
      </c>
      <c r="D89" s="8">
        <v>295</v>
      </c>
      <c r="E89" s="9">
        <f t="shared" si="6"/>
        <v>0.31111111111111112</v>
      </c>
      <c r="F89" s="10">
        <f t="shared" si="7"/>
        <v>261.25</v>
      </c>
      <c r="G89" s="11">
        <f t="shared" si="8"/>
        <v>0.16111111111111112</v>
      </c>
      <c r="H89" s="12">
        <f t="shared" si="9"/>
        <v>33.75</v>
      </c>
      <c r="I89" s="12">
        <f t="shared" si="10"/>
        <v>36.25</v>
      </c>
      <c r="J89" s="8">
        <f t="shared" si="11"/>
        <v>70</v>
      </c>
    </row>
    <row r="90" spans="1:10" x14ac:dyDescent="0.3">
      <c r="A90" s="3" t="s">
        <v>92</v>
      </c>
      <c r="B90" s="8" t="s">
        <v>3</v>
      </c>
      <c r="C90" s="6">
        <v>400</v>
      </c>
      <c r="D90" s="8">
        <v>525</v>
      </c>
      <c r="E90" s="9">
        <f t="shared" si="6"/>
        <v>0.3125</v>
      </c>
      <c r="F90" s="10">
        <f t="shared" si="7"/>
        <v>465</v>
      </c>
      <c r="G90" s="11">
        <f t="shared" si="8"/>
        <v>0.16250000000000001</v>
      </c>
      <c r="H90" s="12">
        <f t="shared" si="9"/>
        <v>60</v>
      </c>
      <c r="I90" s="12">
        <f t="shared" si="10"/>
        <v>65</v>
      </c>
      <c r="J90" s="8">
        <f t="shared" si="11"/>
        <v>125</v>
      </c>
    </row>
    <row r="91" spans="1:10" x14ac:dyDescent="0.3">
      <c r="A91" s="3" t="s">
        <v>93</v>
      </c>
      <c r="B91" s="8" t="s">
        <v>3</v>
      </c>
      <c r="C91" s="6">
        <v>91</v>
      </c>
      <c r="D91" s="8">
        <v>120</v>
      </c>
      <c r="E91" s="9">
        <f t="shared" si="6"/>
        <v>0.31868131868131866</v>
      </c>
      <c r="F91" s="10">
        <f t="shared" si="7"/>
        <v>106.35</v>
      </c>
      <c r="G91" s="11">
        <f t="shared" si="8"/>
        <v>0.16868131868131866</v>
      </c>
      <c r="H91" s="12">
        <f t="shared" si="9"/>
        <v>13.650000000000006</v>
      </c>
      <c r="I91" s="12">
        <f t="shared" si="10"/>
        <v>15.349999999999994</v>
      </c>
      <c r="J91" s="8">
        <f t="shared" si="11"/>
        <v>29</v>
      </c>
    </row>
    <row r="92" spans="1:10" x14ac:dyDescent="0.3">
      <c r="A92" s="3" t="s">
        <v>94</v>
      </c>
      <c r="B92" s="8" t="s">
        <v>3</v>
      </c>
      <c r="C92" s="6">
        <v>80</v>
      </c>
      <c r="D92" s="8">
        <v>105</v>
      </c>
      <c r="E92" s="9">
        <f t="shared" si="6"/>
        <v>0.3125</v>
      </c>
      <c r="F92" s="10">
        <f t="shared" si="7"/>
        <v>93</v>
      </c>
      <c r="G92" s="11">
        <f t="shared" si="8"/>
        <v>0.16250000000000001</v>
      </c>
      <c r="H92" s="12">
        <f t="shared" si="9"/>
        <v>12</v>
      </c>
      <c r="I92" s="12">
        <f t="shared" si="10"/>
        <v>13</v>
      </c>
      <c r="J92" s="8">
        <f t="shared" si="11"/>
        <v>25</v>
      </c>
    </row>
    <row r="93" spans="1:10" x14ac:dyDescent="0.3">
      <c r="A93" s="3" t="s">
        <v>95</v>
      </c>
      <c r="B93" s="8" t="s">
        <v>3</v>
      </c>
      <c r="C93" s="6">
        <v>610</v>
      </c>
      <c r="D93" s="8">
        <v>800</v>
      </c>
      <c r="E93" s="9">
        <f t="shared" si="6"/>
        <v>0.31147540983606559</v>
      </c>
      <c r="F93" s="10">
        <f t="shared" si="7"/>
        <v>708.5</v>
      </c>
      <c r="G93" s="11">
        <f t="shared" si="8"/>
        <v>0.16147540983606559</v>
      </c>
      <c r="H93" s="12">
        <f t="shared" si="9"/>
        <v>91.5</v>
      </c>
      <c r="I93" s="12">
        <f t="shared" si="10"/>
        <v>98.5</v>
      </c>
      <c r="J93" s="8">
        <f t="shared" si="11"/>
        <v>190</v>
      </c>
    </row>
    <row r="94" spans="1:10" x14ac:dyDescent="0.3">
      <c r="A94" s="3" t="s">
        <v>96</v>
      </c>
      <c r="B94" s="8" t="s">
        <v>3</v>
      </c>
      <c r="C94" s="6">
        <v>72</v>
      </c>
      <c r="D94" s="8">
        <v>95</v>
      </c>
      <c r="E94" s="9">
        <f t="shared" si="6"/>
        <v>0.31944444444444442</v>
      </c>
      <c r="F94" s="10">
        <f t="shared" si="7"/>
        <v>84.2</v>
      </c>
      <c r="G94" s="11">
        <f t="shared" si="8"/>
        <v>0.16944444444444443</v>
      </c>
      <c r="H94" s="12">
        <f t="shared" si="9"/>
        <v>10.799999999999997</v>
      </c>
      <c r="I94" s="12">
        <f t="shared" si="10"/>
        <v>12.200000000000003</v>
      </c>
      <c r="J94" s="8">
        <f t="shared" si="11"/>
        <v>23</v>
      </c>
    </row>
    <row r="95" spans="1:10" x14ac:dyDescent="0.3">
      <c r="A95" s="3" t="s">
        <v>97</v>
      </c>
      <c r="B95" s="8" t="s">
        <v>3</v>
      </c>
      <c r="C95" s="6">
        <v>140</v>
      </c>
      <c r="D95" s="8">
        <v>185</v>
      </c>
      <c r="E95" s="9">
        <f t="shared" si="6"/>
        <v>0.32142857142857145</v>
      </c>
      <c r="F95" s="10">
        <f t="shared" si="7"/>
        <v>164</v>
      </c>
      <c r="G95" s="11">
        <f t="shared" si="8"/>
        <v>0.17142857142857146</v>
      </c>
      <c r="H95" s="12">
        <f t="shared" si="9"/>
        <v>21</v>
      </c>
      <c r="I95" s="12">
        <f t="shared" si="10"/>
        <v>24</v>
      </c>
      <c r="J95" s="8">
        <f t="shared" si="11"/>
        <v>45</v>
      </c>
    </row>
    <row r="96" spans="1:10" x14ac:dyDescent="0.3">
      <c r="A96" s="3" t="s">
        <v>98</v>
      </c>
      <c r="B96" s="8" t="s">
        <v>3</v>
      </c>
      <c r="C96" s="6">
        <v>62</v>
      </c>
      <c r="D96" s="8">
        <v>82</v>
      </c>
      <c r="E96" s="9">
        <f t="shared" si="6"/>
        <v>0.32258064516129031</v>
      </c>
      <c r="F96" s="10">
        <f t="shared" si="7"/>
        <v>72.7</v>
      </c>
      <c r="G96" s="11">
        <f t="shared" si="8"/>
        <v>0.17258064516129032</v>
      </c>
      <c r="H96" s="12">
        <f t="shared" si="9"/>
        <v>9.2999999999999972</v>
      </c>
      <c r="I96" s="12">
        <f t="shared" si="10"/>
        <v>10.700000000000003</v>
      </c>
      <c r="J96" s="8">
        <f t="shared" si="11"/>
        <v>20</v>
      </c>
    </row>
    <row r="97" spans="1:10" x14ac:dyDescent="0.3">
      <c r="A97" s="3" t="s">
        <v>99</v>
      </c>
      <c r="B97" s="8" t="s">
        <v>3</v>
      </c>
      <c r="C97" s="6">
        <v>58</v>
      </c>
      <c r="D97" s="8">
        <v>77</v>
      </c>
      <c r="E97" s="9">
        <f t="shared" si="6"/>
        <v>0.32758620689655171</v>
      </c>
      <c r="F97" s="10">
        <f t="shared" si="7"/>
        <v>68.3</v>
      </c>
      <c r="G97" s="11">
        <f t="shared" si="8"/>
        <v>0.17758620689655172</v>
      </c>
      <c r="H97" s="12">
        <f t="shared" si="9"/>
        <v>8.7000000000000028</v>
      </c>
      <c r="I97" s="12">
        <f t="shared" si="10"/>
        <v>10.299999999999997</v>
      </c>
      <c r="J97" s="8">
        <f t="shared" si="11"/>
        <v>19</v>
      </c>
    </row>
    <row r="98" spans="1:10" x14ac:dyDescent="0.3">
      <c r="A98" s="3" t="s">
        <v>100</v>
      </c>
      <c r="B98" s="8" t="s">
        <v>3</v>
      </c>
      <c r="C98" s="6">
        <v>140</v>
      </c>
      <c r="D98" s="8">
        <v>185</v>
      </c>
      <c r="E98" s="9">
        <f t="shared" si="6"/>
        <v>0.32142857142857145</v>
      </c>
      <c r="F98" s="10">
        <f t="shared" si="7"/>
        <v>164</v>
      </c>
      <c r="G98" s="11">
        <f t="shared" si="8"/>
        <v>0.17142857142857146</v>
      </c>
      <c r="H98" s="12">
        <f t="shared" si="9"/>
        <v>21</v>
      </c>
      <c r="I98" s="12">
        <f t="shared" si="10"/>
        <v>24</v>
      </c>
      <c r="J98" s="8">
        <f t="shared" si="11"/>
        <v>45</v>
      </c>
    </row>
    <row r="99" spans="1:10" x14ac:dyDescent="0.3">
      <c r="A99" s="3" t="s">
        <v>101</v>
      </c>
      <c r="B99" s="8" t="s">
        <v>3</v>
      </c>
      <c r="C99" s="6">
        <v>710</v>
      </c>
      <c r="D99" s="8">
        <v>935</v>
      </c>
      <c r="E99" s="9">
        <f t="shared" si="6"/>
        <v>0.31690140845070425</v>
      </c>
      <c r="F99" s="10">
        <f t="shared" si="7"/>
        <v>828.5</v>
      </c>
      <c r="G99" s="11">
        <f t="shared" si="8"/>
        <v>0.16690140845070425</v>
      </c>
      <c r="H99" s="12">
        <f t="shared" si="9"/>
        <v>106.5</v>
      </c>
      <c r="I99" s="12">
        <f t="shared" si="10"/>
        <v>118.5</v>
      </c>
      <c r="J99" s="8">
        <f t="shared" si="11"/>
        <v>225</v>
      </c>
    </row>
    <row r="100" spans="1:10" x14ac:dyDescent="0.3">
      <c r="A100" s="3" t="s">
        <v>102</v>
      </c>
      <c r="B100" s="8" t="s">
        <v>103</v>
      </c>
      <c r="C100" s="6">
        <v>390</v>
      </c>
      <c r="D100" s="8">
        <v>515</v>
      </c>
      <c r="E100" s="9">
        <f t="shared" si="6"/>
        <v>0.32051282051282054</v>
      </c>
      <c r="F100" s="10">
        <f t="shared" si="7"/>
        <v>456.5</v>
      </c>
      <c r="G100" s="11">
        <f t="shared" si="8"/>
        <v>0.17051282051282055</v>
      </c>
      <c r="H100" s="12">
        <f t="shared" si="9"/>
        <v>58.5</v>
      </c>
      <c r="I100" s="12">
        <f t="shared" si="10"/>
        <v>66.5</v>
      </c>
      <c r="J100" s="8">
        <f t="shared" si="11"/>
        <v>125</v>
      </c>
    </row>
    <row r="101" spans="1:10" x14ac:dyDescent="0.3">
      <c r="A101" s="3" t="s">
        <v>104</v>
      </c>
      <c r="B101" s="8" t="s">
        <v>3</v>
      </c>
      <c r="C101" s="6">
        <v>165</v>
      </c>
      <c r="D101" s="8">
        <v>220</v>
      </c>
      <c r="E101" s="9">
        <f t="shared" si="6"/>
        <v>0.33333333333333331</v>
      </c>
      <c r="F101" s="10">
        <f t="shared" si="7"/>
        <v>195.25</v>
      </c>
      <c r="G101" s="11">
        <f t="shared" si="8"/>
        <v>0.18333333333333332</v>
      </c>
      <c r="H101" s="12">
        <f t="shared" si="9"/>
        <v>24.75</v>
      </c>
      <c r="I101" s="12">
        <f t="shared" si="10"/>
        <v>30.25</v>
      </c>
      <c r="J101" s="8">
        <f t="shared" si="11"/>
        <v>55</v>
      </c>
    </row>
    <row r="102" spans="1:10" x14ac:dyDescent="0.3">
      <c r="A102" s="3" t="s">
        <v>105</v>
      </c>
      <c r="B102" s="8" t="s">
        <v>73</v>
      </c>
      <c r="C102" s="6">
        <v>98</v>
      </c>
      <c r="D102" s="8">
        <v>130</v>
      </c>
      <c r="E102" s="9">
        <f t="shared" si="6"/>
        <v>0.32653061224489793</v>
      </c>
      <c r="F102" s="10">
        <f t="shared" si="7"/>
        <v>115.3</v>
      </c>
      <c r="G102" s="11">
        <f t="shared" si="8"/>
        <v>0.17653061224489794</v>
      </c>
      <c r="H102" s="12">
        <f t="shared" si="9"/>
        <v>14.700000000000003</v>
      </c>
      <c r="I102" s="12">
        <f t="shared" si="10"/>
        <v>17.299999999999997</v>
      </c>
      <c r="J102" s="8">
        <f t="shared" si="11"/>
        <v>32</v>
      </c>
    </row>
    <row r="103" spans="1:10" x14ac:dyDescent="0.3">
      <c r="A103" s="3" t="s">
        <v>106</v>
      </c>
      <c r="B103" s="8" t="s">
        <v>3</v>
      </c>
      <c r="C103" s="6">
        <v>101</v>
      </c>
      <c r="D103" s="8">
        <v>135</v>
      </c>
      <c r="E103" s="9">
        <f t="shared" si="6"/>
        <v>0.33663366336633666</v>
      </c>
      <c r="F103" s="10">
        <f t="shared" si="7"/>
        <v>119.85</v>
      </c>
      <c r="G103" s="11">
        <f t="shared" si="8"/>
        <v>0.18663366336633666</v>
      </c>
      <c r="H103" s="12">
        <f t="shared" si="9"/>
        <v>15.150000000000006</v>
      </c>
      <c r="I103" s="12">
        <f t="shared" si="10"/>
        <v>18.849999999999994</v>
      </c>
      <c r="J103" s="8">
        <f t="shared" si="11"/>
        <v>34</v>
      </c>
    </row>
    <row r="104" spans="1:10" x14ac:dyDescent="0.3">
      <c r="A104" s="3" t="s">
        <v>107</v>
      </c>
      <c r="B104" s="8" t="s">
        <v>3</v>
      </c>
      <c r="C104" s="6">
        <v>78</v>
      </c>
      <c r="D104" s="8">
        <v>105</v>
      </c>
      <c r="E104" s="9">
        <f t="shared" si="6"/>
        <v>0.34615384615384615</v>
      </c>
      <c r="F104" s="10">
        <f t="shared" si="7"/>
        <v>93.3</v>
      </c>
      <c r="G104" s="11">
        <f t="shared" si="8"/>
        <v>0.19615384615384615</v>
      </c>
      <c r="H104" s="12">
        <f t="shared" si="9"/>
        <v>11.700000000000003</v>
      </c>
      <c r="I104" s="12">
        <f t="shared" si="10"/>
        <v>15.299999999999997</v>
      </c>
      <c r="J104" s="8">
        <f t="shared" si="11"/>
        <v>27</v>
      </c>
    </row>
    <row r="105" spans="1:10" x14ac:dyDescent="0.3">
      <c r="A105" s="3" t="s">
        <v>108</v>
      </c>
      <c r="B105" s="8" t="s">
        <v>3</v>
      </c>
      <c r="C105" s="6">
        <v>1050</v>
      </c>
      <c r="D105" s="8">
        <v>1380</v>
      </c>
      <c r="E105" s="9">
        <f t="shared" si="6"/>
        <v>0.31428571428571428</v>
      </c>
      <c r="F105" s="10">
        <f t="shared" si="7"/>
        <v>1222.5</v>
      </c>
      <c r="G105" s="11">
        <f t="shared" si="8"/>
        <v>0.16428571428571428</v>
      </c>
      <c r="H105" s="12">
        <f t="shared" si="9"/>
        <v>157.5</v>
      </c>
      <c r="I105" s="12">
        <f t="shared" si="10"/>
        <v>172.5</v>
      </c>
      <c r="J105" s="8">
        <f t="shared" si="11"/>
        <v>330</v>
      </c>
    </row>
    <row r="106" spans="1:10" x14ac:dyDescent="0.3">
      <c r="A106" s="3" t="s">
        <v>109</v>
      </c>
      <c r="B106" s="8" t="s">
        <v>3</v>
      </c>
      <c r="C106" s="6">
        <v>205</v>
      </c>
      <c r="D106" s="8">
        <v>270</v>
      </c>
      <c r="E106" s="9">
        <f t="shared" si="6"/>
        <v>0.31707317073170732</v>
      </c>
      <c r="F106" s="10">
        <f t="shared" si="7"/>
        <v>239.25</v>
      </c>
      <c r="G106" s="11">
        <f t="shared" si="8"/>
        <v>0.16707317073170733</v>
      </c>
      <c r="H106" s="12">
        <f t="shared" si="9"/>
        <v>30.75</v>
      </c>
      <c r="I106" s="12">
        <f t="shared" si="10"/>
        <v>34.25</v>
      </c>
      <c r="J106" s="8">
        <f t="shared" si="11"/>
        <v>65</v>
      </c>
    </row>
    <row r="107" spans="1:10" x14ac:dyDescent="0.3">
      <c r="A107" s="3" t="s">
        <v>110</v>
      </c>
      <c r="B107" s="8" t="s">
        <v>3</v>
      </c>
      <c r="C107" s="6">
        <v>133</v>
      </c>
      <c r="D107" s="8">
        <v>175</v>
      </c>
      <c r="E107" s="9">
        <f t="shared" si="6"/>
        <v>0.31578947368421051</v>
      </c>
      <c r="F107" s="10">
        <f t="shared" si="7"/>
        <v>155.05000000000001</v>
      </c>
      <c r="G107" s="11">
        <f t="shared" si="8"/>
        <v>0.16578947368421051</v>
      </c>
      <c r="H107" s="12">
        <f t="shared" si="9"/>
        <v>19.949999999999989</v>
      </c>
      <c r="I107" s="12">
        <f t="shared" si="10"/>
        <v>22.050000000000011</v>
      </c>
      <c r="J107" s="8">
        <f t="shared" si="11"/>
        <v>42</v>
      </c>
    </row>
    <row r="108" spans="1:10" x14ac:dyDescent="0.3">
      <c r="A108" s="3" t="s">
        <v>111</v>
      </c>
      <c r="B108" s="8" t="s">
        <v>3</v>
      </c>
      <c r="C108" s="6">
        <v>400</v>
      </c>
      <c r="D108" s="8">
        <v>525</v>
      </c>
      <c r="E108" s="9">
        <f t="shared" si="6"/>
        <v>0.3125</v>
      </c>
      <c r="F108" s="10">
        <f t="shared" si="7"/>
        <v>465</v>
      </c>
      <c r="G108" s="11">
        <f t="shared" si="8"/>
        <v>0.16250000000000001</v>
      </c>
      <c r="H108" s="12">
        <f t="shared" si="9"/>
        <v>60</v>
      </c>
      <c r="I108" s="12">
        <f t="shared" si="10"/>
        <v>65</v>
      </c>
      <c r="J108" s="8">
        <f t="shared" si="11"/>
        <v>125</v>
      </c>
    </row>
    <row r="109" spans="1:10" x14ac:dyDescent="0.3">
      <c r="A109" s="3" t="s">
        <v>112</v>
      </c>
      <c r="B109" s="8" t="s">
        <v>3</v>
      </c>
      <c r="C109" s="6">
        <v>285</v>
      </c>
      <c r="D109" s="8">
        <v>375</v>
      </c>
      <c r="E109" s="9">
        <f t="shared" si="6"/>
        <v>0.31578947368421051</v>
      </c>
      <c r="F109" s="10">
        <f t="shared" si="7"/>
        <v>332.25</v>
      </c>
      <c r="G109" s="11">
        <f t="shared" si="8"/>
        <v>0.16578947368421051</v>
      </c>
      <c r="H109" s="12">
        <f t="shared" si="9"/>
        <v>42.75</v>
      </c>
      <c r="I109" s="12">
        <f t="shared" si="10"/>
        <v>47.25</v>
      </c>
      <c r="J109" s="8">
        <f t="shared" si="11"/>
        <v>90</v>
      </c>
    </row>
    <row r="110" spans="1:10" x14ac:dyDescent="0.3">
      <c r="A110" s="3" t="s">
        <v>113</v>
      </c>
      <c r="B110" s="8" t="s">
        <v>103</v>
      </c>
      <c r="C110" s="6">
        <v>600</v>
      </c>
      <c r="D110" s="8">
        <v>790</v>
      </c>
      <c r="E110" s="9">
        <f t="shared" si="6"/>
        <v>0.31666666666666665</v>
      </c>
      <c r="F110" s="10">
        <f t="shared" si="7"/>
        <v>700</v>
      </c>
      <c r="G110" s="11">
        <f t="shared" si="8"/>
        <v>0.16666666666666666</v>
      </c>
      <c r="H110" s="12">
        <f t="shared" si="9"/>
        <v>90</v>
      </c>
      <c r="I110" s="12">
        <f t="shared" si="10"/>
        <v>100</v>
      </c>
      <c r="J110" s="8">
        <f t="shared" si="11"/>
        <v>190</v>
      </c>
    </row>
    <row r="111" spans="1:10" x14ac:dyDescent="0.3">
      <c r="A111" s="3" t="s">
        <v>114</v>
      </c>
      <c r="B111" s="8" t="s">
        <v>3</v>
      </c>
      <c r="C111" s="6">
        <v>78</v>
      </c>
      <c r="D111" s="8">
        <v>105</v>
      </c>
      <c r="E111" s="9">
        <f t="shared" si="6"/>
        <v>0.34615384615384615</v>
      </c>
      <c r="F111" s="10">
        <f t="shared" si="7"/>
        <v>93.3</v>
      </c>
      <c r="G111" s="11">
        <f t="shared" si="8"/>
        <v>0.19615384615384615</v>
      </c>
      <c r="H111" s="12">
        <f t="shared" si="9"/>
        <v>11.700000000000003</v>
      </c>
      <c r="I111" s="12">
        <f t="shared" si="10"/>
        <v>15.299999999999997</v>
      </c>
      <c r="J111" s="8">
        <f t="shared" si="11"/>
        <v>27</v>
      </c>
    </row>
    <row r="112" spans="1:10" x14ac:dyDescent="0.3">
      <c r="A112" s="3" t="s">
        <v>115</v>
      </c>
      <c r="B112" s="8" t="s">
        <v>103</v>
      </c>
      <c r="C112" s="6">
        <v>470</v>
      </c>
      <c r="D112" s="8">
        <v>620</v>
      </c>
      <c r="E112" s="9">
        <f t="shared" si="6"/>
        <v>0.31914893617021278</v>
      </c>
      <c r="F112" s="10">
        <f t="shared" si="7"/>
        <v>549.5</v>
      </c>
      <c r="G112" s="11">
        <f t="shared" si="8"/>
        <v>0.16914893617021279</v>
      </c>
      <c r="H112" s="12">
        <f t="shared" si="9"/>
        <v>70.5</v>
      </c>
      <c r="I112" s="12">
        <f t="shared" si="10"/>
        <v>79.5</v>
      </c>
      <c r="J112" s="8">
        <f t="shared" si="11"/>
        <v>150</v>
      </c>
    </row>
    <row r="113" spans="1:10" x14ac:dyDescent="0.3">
      <c r="A113" s="3" t="s">
        <v>116</v>
      </c>
      <c r="B113" s="8" t="s">
        <v>3</v>
      </c>
      <c r="C113" s="6">
        <v>445</v>
      </c>
      <c r="D113" s="8">
        <v>585</v>
      </c>
      <c r="E113" s="9">
        <f t="shared" si="6"/>
        <v>0.3146067415730337</v>
      </c>
      <c r="F113" s="10">
        <f t="shared" si="7"/>
        <v>518.25</v>
      </c>
      <c r="G113" s="11">
        <f t="shared" si="8"/>
        <v>0.1646067415730337</v>
      </c>
      <c r="H113" s="12">
        <f t="shared" si="9"/>
        <v>66.75</v>
      </c>
      <c r="I113" s="12">
        <f t="shared" si="10"/>
        <v>73.25</v>
      </c>
      <c r="J113" s="8">
        <f t="shared" si="11"/>
        <v>140</v>
      </c>
    </row>
    <row r="114" spans="1:10" x14ac:dyDescent="0.3">
      <c r="A114" s="3" t="s">
        <v>117</v>
      </c>
      <c r="B114" s="8" t="s">
        <v>3</v>
      </c>
      <c r="C114" s="6">
        <v>310</v>
      </c>
      <c r="D114" s="8">
        <v>410</v>
      </c>
      <c r="E114" s="9">
        <f t="shared" si="6"/>
        <v>0.32258064516129031</v>
      </c>
      <c r="F114" s="10">
        <f t="shared" si="7"/>
        <v>363.5</v>
      </c>
      <c r="G114" s="11">
        <f t="shared" si="8"/>
        <v>0.17258064516129032</v>
      </c>
      <c r="H114" s="12">
        <f t="shared" si="9"/>
        <v>46.5</v>
      </c>
      <c r="I114" s="12">
        <f t="shared" si="10"/>
        <v>53.5</v>
      </c>
      <c r="J114" s="8">
        <f t="shared" si="11"/>
        <v>100</v>
      </c>
    </row>
    <row r="115" spans="1:10" x14ac:dyDescent="0.3">
      <c r="A115" s="3" t="s">
        <v>118</v>
      </c>
      <c r="B115" s="8" t="s">
        <v>3</v>
      </c>
      <c r="C115" s="6">
        <v>177</v>
      </c>
      <c r="D115" s="8">
        <v>235</v>
      </c>
      <c r="E115" s="9">
        <f t="shared" si="6"/>
        <v>0.32768361581920902</v>
      </c>
      <c r="F115" s="10">
        <f t="shared" si="7"/>
        <v>208.45</v>
      </c>
      <c r="G115" s="11">
        <f t="shared" si="8"/>
        <v>0.17768361581920902</v>
      </c>
      <c r="H115" s="12">
        <f t="shared" si="9"/>
        <v>26.550000000000011</v>
      </c>
      <c r="I115" s="12">
        <f t="shared" si="10"/>
        <v>31.449999999999989</v>
      </c>
      <c r="J115" s="8">
        <f t="shared" si="11"/>
        <v>58</v>
      </c>
    </row>
    <row r="116" spans="1:10" x14ac:dyDescent="0.3">
      <c r="A116" s="3" t="s">
        <v>119</v>
      </c>
      <c r="B116" s="8" t="s">
        <v>3</v>
      </c>
      <c r="C116" s="6">
        <v>720</v>
      </c>
      <c r="D116" s="8">
        <v>945</v>
      </c>
      <c r="E116" s="9">
        <f t="shared" si="6"/>
        <v>0.3125</v>
      </c>
      <c r="F116" s="10">
        <f t="shared" si="7"/>
        <v>837</v>
      </c>
      <c r="G116" s="11">
        <f t="shared" si="8"/>
        <v>0.16250000000000001</v>
      </c>
      <c r="H116" s="12">
        <f t="shared" si="9"/>
        <v>108</v>
      </c>
      <c r="I116" s="12">
        <f t="shared" si="10"/>
        <v>117</v>
      </c>
      <c r="J116" s="8">
        <f t="shared" si="11"/>
        <v>225</v>
      </c>
    </row>
    <row r="117" spans="1:10" x14ac:dyDescent="0.3">
      <c r="A117" s="3" t="s">
        <v>120</v>
      </c>
      <c r="B117" s="8" t="s">
        <v>3</v>
      </c>
      <c r="C117" s="6">
        <v>70</v>
      </c>
      <c r="D117" s="8">
        <v>93</v>
      </c>
      <c r="E117" s="9">
        <f t="shared" si="6"/>
        <v>0.32857142857142857</v>
      </c>
      <c r="F117" s="10">
        <f t="shared" si="7"/>
        <v>82.5</v>
      </c>
      <c r="G117" s="11">
        <f t="shared" si="8"/>
        <v>0.17857142857142858</v>
      </c>
      <c r="H117" s="12">
        <f t="shared" si="9"/>
        <v>10.5</v>
      </c>
      <c r="I117" s="12">
        <f t="shared" si="10"/>
        <v>12.5</v>
      </c>
      <c r="J117" s="8">
        <f t="shared" si="11"/>
        <v>23</v>
      </c>
    </row>
    <row r="118" spans="1:10" x14ac:dyDescent="0.3">
      <c r="A118" s="3" t="s">
        <v>121</v>
      </c>
      <c r="B118" s="8" t="s">
        <v>3</v>
      </c>
      <c r="C118" s="6">
        <v>70</v>
      </c>
      <c r="D118" s="8">
        <v>93</v>
      </c>
      <c r="E118" s="9">
        <f t="shared" si="6"/>
        <v>0.32857142857142857</v>
      </c>
      <c r="F118" s="10">
        <f t="shared" si="7"/>
        <v>82.5</v>
      </c>
      <c r="G118" s="11">
        <f t="shared" si="8"/>
        <v>0.17857142857142858</v>
      </c>
      <c r="H118" s="12">
        <f t="shared" si="9"/>
        <v>10.5</v>
      </c>
      <c r="I118" s="12">
        <f t="shared" si="10"/>
        <v>12.5</v>
      </c>
      <c r="J118" s="8">
        <f t="shared" si="11"/>
        <v>23</v>
      </c>
    </row>
    <row r="119" spans="1:10" x14ac:dyDescent="0.3">
      <c r="A119" s="3" t="s">
        <v>122</v>
      </c>
      <c r="B119" s="8" t="s">
        <v>3</v>
      </c>
      <c r="C119" s="6">
        <v>148</v>
      </c>
      <c r="D119" s="8">
        <v>195</v>
      </c>
      <c r="E119" s="9">
        <f t="shared" si="6"/>
        <v>0.31756756756756754</v>
      </c>
      <c r="F119" s="10">
        <f t="shared" si="7"/>
        <v>172.8</v>
      </c>
      <c r="G119" s="11">
        <f t="shared" si="8"/>
        <v>0.16756756756756755</v>
      </c>
      <c r="H119" s="12">
        <f t="shared" si="9"/>
        <v>22.199999999999989</v>
      </c>
      <c r="I119" s="12">
        <f t="shared" si="10"/>
        <v>24.800000000000011</v>
      </c>
      <c r="J119" s="8">
        <f t="shared" si="11"/>
        <v>47</v>
      </c>
    </row>
    <row r="120" spans="1:10" x14ac:dyDescent="0.3">
      <c r="A120" s="3" t="s">
        <v>123</v>
      </c>
      <c r="B120" s="8" t="s">
        <v>103</v>
      </c>
      <c r="C120" s="6">
        <v>300</v>
      </c>
      <c r="D120" s="8">
        <v>395</v>
      </c>
      <c r="E120" s="9">
        <f t="shared" si="6"/>
        <v>0.31666666666666665</v>
      </c>
      <c r="F120" s="10">
        <f t="shared" si="7"/>
        <v>350</v>
      </c>
      <c r="G120" s="11">
        <f t="shared" si="8"/>
        <v>0.16666666666666666</v>
      </c>
      <c r="H120" s="12">
        <f t="shared" si="9"/>
        <v>45</v>
      </c>
      <c r="I120" s="12">
        <f t="shared" si="10"/>
        <v>50</v>
      </c>
      <c r="J120" s="8">
        <f t="shared" si="11"/>
        <v>95</v>
      </c>
    </row>
    <row r="121" spans="1:10" x14ac:dyDescent="0.3">
      <c r="A121" s="3" t="s">
        <v>124</v>
      </c>
      <c r="B121" s="8" t="s">
        <v>3</v>
      </c>
      <c r="C121" s="6">
        <v>32</v>
      </c>
      <c r="D121" s="8">
        <v>42</v>
      </c>
      <c r="E121" s="9">
        <f t="shared" si="6"/>
        <v>0.3125</v>
      </c>
      <c r="F121" s="10">
        <f t="shared" si="7"/>
        <v>37.200000000000003</v>
      </c>
      <c r="G121" s="11">
        <f t="shared" si="8"/>
        <v>0.16250000000000001</v>
      </c>
      <c r="H121" s="12">
        <f t="shared" si="9"/>
        <v>4.7999999999999972</v>
      </c>
      <c r="I121" s="12">
        <f t="shared" si="10"/>
        <v>5.2000000000000028</v>
      </c>
      <c r="J121" s="8">
        <f t="shared" si="11"/>
        <v>10</v>
      </c>
    </row>
    <row r="122" spans="1:10" x14ac:dyDescent="0.3">
      <c r="A122" s="3" t="s">
        <v>125</v>
      </c>
      <c r="B122" s="8" t="s">
        <v>3</v>
      </c>
      <c r="C122" s="6">
        <v>520</v>
      </c>
      <c r="D122" s="8">
        <v>685</v>
      </c>
      <c r="E122" s="9">
        <f t="shared" si="6"/>
        <v>0.31730769230769229</v>
      </c>
      <c r="F122" s="10">
        <f t="shared" si="7"/>
        <v>607</v>
      </c>
      <c r="G122" s="11">
        <f t="shared" si="8"/>
        <v>0.1673076923076923</v>
      </c>
      <c r="H122" s="12">
        <f t="shared" si="9"/>
        <v>78</v>
      </c>
      <c r="I122" s="12">
        <f t="shared" si="10"/>
        <v>87</v>
      </c>
      <c r="J122" s="8">
        <f t="shared" si="11"/>
        <v>165</v>
      </c>
    </row>
    <row r="123" spans="1:10" x14ac:dyDescent="0.3">
      <c r="A123" s="3" t="s">
        <v>126</v>
      </c>
      <c r="B123" s="8" t="s">
        <v>3</v>
      </c>
      <c r="C123" s="6">
        <v>220</v>
      </c>
      <c r="D123" s="8">
        <v>290</v>
      </c>
      <c r="E123" s="9">
        <f t="shared" si="6"/>
        <v>0.31818181818181818</v>
      </c>
      <c r="F123" s="10">
        <f t="shared" si="7"/>
        <v>257</v>
      </c>
      <c r="G123" s="11">
        <f t="shared" si="8"/>
        <v>0.16818181818181818</v>
      </c>
      <c r="H123" s="12">
        <f t="shared" si="9"/>
        <v>33</v>
      </c>
      <c r="I123" s="12">
        <f t="shared" si="10"/>
        <v>37</v>
      </c>
      <c r="J123" s="8">
        <f t="shared" si="11"/>
        <v>70</v>
      </c>
    </row>
    <row r="124" spans="1:10" x14ac:dyDescent="0.3">
      <c r="A124" s="3" t="s">
        <v>127</v>
      </c>
      <c r="B124" s="8" t="s">
        <v>3</v>
      </c>
      <c r="C124" s="6">
        <v>15</v>
      </c>
      <c r="D124" s="8">
        <v>20</v>
      </c>
      <c r="E124" s="9">
        <f t="shared" si="6"/>
        <v>0.33333333333333331</v>
      </c>
      <c r="F124" s="10">
        <f t="shared" si="7"/>
        <v>17.75</v>
      </c>
      <c r="G124" s="11">
        <f t="shared" si="8"/>
        <v>0.18333333333333332</v>
      </c>
      <c r="H124" s="12">
        <f t="shared" si="9"/>
        <v>2.25</v>
      </c>
      <c r="I124" s="12">
        <f t="shared" si="10"/>
        <v>2.75</v>
      </c>
      <c r="J124" s="8">
        <f t="shared" si="11"/>
        <v>5</v>
      </c>
    </row>
    <row r="125" spans="1:10" x14ac:dyDescent="0.3">
      <c r="A125" s="3" t="s">
        <v>128</v>
      </c>
      <c r="B125" s="8" t="s">
        <v>103</v>
      </c>
      <c r="C125" s="6">
        <v>600</v>
      </c>
      <c r="D125" s="8">
        <v>790</v>
      </c>
      <c r="E125" s="9">
        <f t="shared" si="6"/>
        <v>0.31666666666666665</v>
      </c>
      <c r="F125" s="10">
        <f t="shared" si="7"/>
        <v>700</v>
      </c>
      <c r="G125" s="11">
        <f t="shared" si="8"/>
        <v>0.16666666666666666</v>
      </c>
      <c r="H125" s="12">
        <f t="shared" si="9"/>
        <v>90</v>
      </c>
      <c r="I125" s="12">
        <f t="shared" si="10"/>
        <v>100</v>
      </c>
      <c r="J125" s="8">
        <f t="shared" si="11"/>
        <v>190</v>
      </c>
    </row>
    <row r="126" spans="1:10" x14ac:dyDescent="0.3">
      <c r="A126" s="3" t="s">
        <v>129</v>
      </c>
      <c r="B126" s="8" t="s">
        <v>3</v>
      </c>
      <c r="C126" s="6">
        <v>275</v>
      </c>
      <c r="D126" s="8">
        <v>365</v>
      </c>
      <c r="E126" s="9">
        <f t="shared" si="6"/>
        <v>0.32727272727272727</v>
      </c>
      <c r="F126" s="10">
        <f t="shared" si="7"/>
        <v>323.75</v>
      </c>
      <c r="G126" s="11">
        <f t="shared" si="8"/>
        <v>0.17727272727272728</v>
      </c>
      <c r="H126" s="12">
        <f t="shared" si="9"/>
        <v>41.25</v>
      </c>
      <c r="I126" s="12">
        <f t="shared" si="10"/>
        <v>48.75</v>
      </c>
      <c r="J126" s="8">
        <f t="shared" si="11"/>
        <v>90</v>
      </c>
    </row>
    <row r="127" spans="1:10" x14ac:dyDescent="0.3">
      <c r="A127" s="3" t="s">
        <v>130</v>
      </c>
      <c r="B127" s="8" t="s">
        <v>3</v>
      </c>
      <c r="C127" s="6">
        <v>69</v>
      </c>
      <c r="D127" s="8">
        <v>91</v>
      </c>
      <c r="E127" s="9">
        <f t="shared" si="6"/>
        <v>0.3188405797101449</v>
      </c>
      <c r="F127" s="10">
        <f t="shared" si="7"/>
        <v>80.650000000000006</v>
      </c>
      <c r="G127" s="11">
        <f t="shared" si="8"/>
        <v>0.16884057971014491</v>
      </c>
      <c r="H127" s="12">
        <f t="shared" si="9"/>
        <v>10.349999999999994</v>
      </c>
      <c r="I127" s="12">
        <f t="shared" si="10"/>
        <v>11.650000000000006</v>
      </c>
      <c r="J127" s="8">
        <f t="shared" si="11"/>
        <v>22</v>
      </c>
    </row>
    <row r="128" spans="1:10" x14ac:dyDescent="0.3">
      <c r="A128" s="3" t="s">
        <v>131</v>
      </c>
      <c r="B128" s="8" t="s">
        <v>3</v>
      </c>
      <c r="C128" s="6">
        <v>335</v>
      </c>
      <c r="D128" s="8">
        <v>440</v>
      </c>
      <c r="E128" s="9">
        <f t="shared" si="6"/>
        <v>0.31343283582089554</v>
      </c>
      <c r="F128" s="10">
        <f t="shared" si="7"/>
        <v>389.75</v>
      </c>
      <c r="G128" s="11">
        <f t="shared" si="8"/>
        <v>0.16343283582089554</v>
      </c>
      <c r="H128" s="12">
        <f t="shared" si="9"/>
        <v>50.25</v>
      </c>
      <c r="I128" s="12">
        <f t="shared" si="10"/>
        <v>54.75</v>
      </c>
      <c r="J128" s="8">
        <f t="shared" si="11"/>
        <v>105</v>
      </c>
    </row>
    <row r="129" spans="1:10" x14ac:dyDescent="0.3">
      <c r="A129" s="3" t="s">
        <v>132</v>
      </c>
      <c r="B129" s="8" t="s">
        <v>3</v>
      </c>
      <c r="C129" s="6">
        <v>68</v>
      </c>
      <c r="D129" s="8">
        <v>90</v>
      </c>
      <c r="E129" s="9">
        <f t="shared" si="6"/>
        <v>0.3235294117647059</v>
      </c>
      <c r="F129" s="10">
        <f t="shared" si="7"/>
        <v>79.8</v>
      </c>
      <c r="G129" s="11">
        <f t="shared" si="8"/>
        <v>0.1735294117647059</v>
      </c>
      <c r="H129" s="12">
        <f t="shared" si="9"/>
        <v>10.200000000000003</v>
      </c>
      <c r="I129" s="12">
        <f t="shared" si="10"/>
        <v>11.799999999999997</v>
      </c>
      <c r="J129" s="8">
        <f t="shared" si="11"/>
        <v>22</v>
      </c>
    </row>
    <row r="130" spans="1:10" x14ac:dyDescent="0.3">
      <c r="A130" s="3" t="s">
        <v>133</v>
      </c>
      <c r="B130" s="8" t="s">
        <v>103</v>
      </c>
      <c r="C130" s="6">
        <v>700</v>
      </c>
      <c r="D130" s="8">
        <v>920</v>
      </c>
      <c r="E130" s="9">
        <f t="shared" si="6"/>
        <v>0.31428571428571428</v>
      </c>
      <c r="F130" s="10">
        <f t="shared" si="7"/>
        <v>815</v>
      </c>
      <c r="G130" s="11">
        <f t="shared" si="8"/>
        <v>0.16428571428571428</v>
      </c>
      <c r="H130" s="12">
        <f t="shared" si="9"/>
        <v>105</v>
      </c>
      <c r="I130" s="12">
        <f t="shared" si="10"/>
        <v>115</v>
      </c>
      <c r="J130" s="8">
        <f t="shared" si="11"/>
        <v>220</v>
      </c>
    </row>
    <row r="131" spans="1:10" x14ac:dyDescent="0.3">
      <c r="A131" s="3" t="s">
        <v>134</v>
      </c>
      <c r="B131" s="8" t="s">
        <v>3</v>
      </c>
      <c r="C131" s="6">
        <v>82</v>
      </c>
      <c r="D131" s="8">
        <v>110</v>
      </c>
      <c r="E131" s="9">
        <f t="shared" ref="E131:E142" si="12">((D131-C131)/C131)</f>
        <v>0.34146341463414637</v>
      </c>
      <c r="F131" s="10">
        <f t="shared" ref="F131:F142" si="13">C131+C131*G131</f>
        <v>97.7</v>
      </c>
      <c r="G131" s="11">
        <f t="shared" ref="G131:G142" si="14">E131-15%</f>
        <v>0.19146341463414637</v>
      </c>
      <c r="H131" s="12">
        <f t="shared" ref="H131:H142" si="15">D131-F131</f>
        <v>12.299999999999997</v>
      </c>
      <c r="I131" s="12">
        <f t="shared" ref="I131:I142" si="16">F131-C131</f>
        <v>15.700000000000003</v>
      </c>
      <c r="J131" s="8">
        <f t="shared" ref="J131:J142" si="17">D131-C131</f>
        <v>28</v>
      </c>
    </row>
    <row r="132" spans="1:10" x14ac:dyDescent="0.3">
      <c r="A132" s="3" t="s">
        <v>135</v>
      </c>
      <c r="B132" s="8" t="s">
        <v>3</v>
      </c>
      <c r="C132" s="6">
        <v>19.5</v>
      </c>
      <c r="D132" s="8">
        <v>26</v>
      </c>
      <c r="E132" s="9">
        <f t="shared" si="12"/>
        <v>0.33333333333333331</v>
      </c>
      <c r="F132" s="10">
        <f t="shared" si="13"/>
        <v>23.074999999999999</v>
      </c>
      <c r="G132" s="11">
        <f t="shared" si="14"/>
        <v>0.18333333333333332</v>
      </c>
      <c r="H132" s="12">
        <f t="shared" si="15"/>
        <v>2.9250000000000007</v>
      </c>
      <c r="I132" s="12">
        <f t="shared" si="16"/>
        <v>3.5749999999999993</v>
      </c>
      <c r="J132" s="8">
        <f t="shared" si="17"/>
        <v>6.5</v>
      </c>
    </row>
    <row r="133" spans="1:10" x14ac:dyDescent="0.3">
      <c r="A133" s="3" t="s">
        <v>136</v>
      </c>
      <c r="B133" s="8" t="s">
        <v>3</v>
      </c>
      <c r="C133" s="6">
        <v>205</v>
      </c>
      <c r="D133" s="8">
        <v>270</v>
      </c>
      <c r="E133" s="9">
        <f t="shared" si="12"/>
        <v>0.31707317073170732</v>
      </c>
      <c r="F133" s="10">
        <f t="shared" si="13"/>
        <v>239.25</v>
      </c>
      <c r="G133" s="11">
        <f t="shared" si="14"/>
        <v>0.16707317073170733</v>
      </c>
      <c r="H133" s="12">
        <f t="shared" si="15"/>
        <v>30.75</v>
      </c>
      <c r="I133" s="12">
        <f t="shared" si="16"/>
        <v>34.25</v>
      </c>
      <c r="J133" s="8">
        <f t="shared" si="17"/>
        <v>65</v>
      </c>
    </row>
    <row r="134" spans="1:10" x14ac:dyDescent="0.3">
      <c r="A134" s="3" t="s">
        <v>137</v>
      </c>
      <c r="B134" s="8" t="s">
        <v>3</v>
      </c>
      <c r="C134" s="6">
        <v>760</v>
      </c>
      <c r="D134" s="8">
        <v>1000</v>
      </c>
      <c r="E134" s="9">
        <f t="shared" si="12"/>
        <v>0.31578947368421051</v>
      </c>
      <c r="F134" s="10">
        <f t="shared" si="13"/>
        <v>886</v>
      </c>
      <c r="G134" s="11">
        <f t="shared" si="14"/>
        <v>0.16578947368421051</v>
      </c>
      <c r="H134" s="12">
        <f t="shared" si="15"/>
        <v>114</v>
      </c>
      <c r="I134" s="12">
        <f t="shared" si="16"/>
        <v>126</v>
      </c>
      <c r="J134" s="8">
        <f t="shared" si="17"/>
        <v>240</v>
      </c>
    </row>
    <row r="135" spans="1:10" x14ac:dyDescent="0.3">
      <c r="A135" s="3" t="s">
        <v>138</v>
      </c>
      <c r="B135" s="8" t="s">
        <v>3</v>
      </c>
      <c r="C135" s="6">
        <v>130</v>
      </c>
      <c r="D135" s="8">
        <v>170</v>
      </c>
      <c r="E135" s="9">
        <f t="shared" si="12"/>
        <v>0.30769230769230771</v>
      </c>
      <c r="F135" s="10">
        <f t="shared" si="13"/>
        <v>150.5</v>
      </c>
      <c r="G135" s="11">
        <f t="shared" si="14"/>
        <v>0.15769230769230771</v>
      </c>
      <c r="H135" s="12">
        <f t="shared" si="15"/>
        <v>19.5</v>
      </c>
      <c r="I135" s="12">
        <f t="shared" si="16"/>
        <v>20.5</v>
      </c>
      <c r="J135" s="8">
        <f t="shared" si="17"/>
        <v>40</v>
      </c>
    </row>
    <row r="136" spans="1:10" x14ac:dyDescent="0.3">
      <c r="A136" s="3" t="s">
        <v>139</v>
      </c>
      <c r="B136" s="8" t="s">
        <v>3</v>
      </c>
      <c r="C136" s="6">
        <v>82</v>
      </c>
      <c r="D136" s="8">
        <v>110</v>
      </c>
      <c r="E136" s="9">
        <f t="shared" si="12"/>
        <v>0.34146341463414637</v>
      </c>
      <c r="F136" s="10">
        <f t="shared" si="13"/>
        <v>97.7</v>
      </c>
      <c r="G136" s="11">
        <f t="shared" si="14"/>
        <v>0.19146341463414637</v>
      </c>
      <c r="H136" s="12">
        <f t="shared" si="15"/>
        <v>12.299999999999997</v>
      </c>
      <c r="I136" s="12">
        <f t="shared" si="16"/>
        <v>15.700000000000003</v>
      </c>
      <c r="J136" s="8">
        <f t="shared" si="17"/>
        <v>28</v>
      </c>
    </row>
    <row r="137" spans="1:10" x14ac:dyDescent="0.3">
      <c r="A137" s="3" t="s">
        <v>140</v>
      </c>
      <c r="B137" s="8" t="s">
        <v>3</v>
      </c>
      <c r="C137" s="6">
        <v>135</v>
      </c>
      <c r="D137" s="8">
        <v>180</v>
      </c>
      <c r="E137" s="9">
        <f t="shared" si="12"/>
        <v>0.33333333333333331</v>
      </c>
      <c r="F137" s="10">
        <f t="shared" si="13"/>
        <v>159.75</v>
      </c>
      <c r="G137" s="11">
        <f t="shared" si="14"/>
        <v>0.18333333333333332</v>
      </c>
      <c r="H137" s="12">
        <f t="shared" si="15"/>
        <v>20.25</v>
      </c>
      <c r="I137" s="12">
        <f t="shared" si="16"/>
        <v>24.75</v>
      </c>
      <c r="J137" s="8">
        <f t="shared" si="17"/>
        <v>45</v>
      </c>
    </row>
    <row r="138" spans="1:10" x14ac:dyDescent="0.3">
      <c r="A138" s="3" t="s">
        <v>141</v>
      </c>
      <c r="B138" s="8" t="s">
        <v>3</v>
      </c>
      <c r="C138" s="6">
        <v>212</v>
      </c>
      <c r="D138" s="8">
        <v>280</v>
      </c>
      <c r="E138" s="9">
        <f t="shared" si="12"/>
        <v>0.32075471698113206</v>
      </c>
      <c r="F138" s="10">
        <f t="shared" si="13"/>
        <v>248.2</v>
      </c>
      <c r="G138" s="11">
        <f t="shared" si="14"/>
        <v>0.17075471698113207</v>
      </c>
      <c r="H138" s="12">
        <f t="shared" si="15"/>
        <v>31.800000000000011</v>
      </c>
      <c r="I138" s="12">
        <f t="shared" si="16"/>
        <v>36.199999999999989</v>
      </c>
      <c r="J138" s="8">
        <f t="shared" si="17"/>
        <v>68</v>
      </c>
    </row>
    <row r="139" spans="1:10" x14ac:dyDescent="0.3">
      <c r="A139" s="3" t="s">
        <v>142</v>
      </c>
      <c r="B139" s="8" t="s">
        <v>3</v>
      </c>
      <c r="C139" s="6">
        <v>68</v>
      </c>
      <c r="D139" s="8">
        <v>90</v>
      </c>
      <c r="E139" s="9">
        <f t="shared" si="12"/>
        <v>0.3235294117647059</v>
      </c>
      <c r="F139" s="10">
        <f t="shared" si="13"/>
        <v>79.8</v>
      </c>
      <c r="G139" s="11">
        <f t="shared" si="14"/>
        <v>0.1735294117647059</v>
      </c>
      <c r="H139" s="12">
        <f t="shared" si="15"/>
        <v>10.200000000000003</v>
      </c>
      <c r="I139" s="12">
        <f t="shared" si="16"/>
        <v>11.799999999999997</v>
      </c>
      <c r="J139" s="8">
        <f t="shared" si="17"/>
        <v>22</v>
      </c>
    </row>
    <row r="140" spans="1:10" x14ac:dyDescent="0.3">
      <c r="A140" s="3" t="s">
        <v>143</v>
      </c>
      <c r="B140" s="8" t="s">
        <v>73</v>
      </c>
      <c r="C140" s="6">
        <v>100</v>
      </c>
      <c r="D140" s="8">
        <v>130</v>
      </c>
      <c r="E140" s="9">
        <f t="shared" si="12"/>
        <v>0.3</v>
      </c>
      <c r="F140" s="10">
        <f t="shared" si="13"/>
        <v>115</v>
      </c>
      <c r="G140" s="11">
        <f t="shared" si="14"/>
        <v>0.15</v>
      </c>
      <c r="H140" s="12">
        <f t="shared" si="15"/>
        <v>15</v>
      </c>
      <c r="I140" s="12">
        <f t="shared" si="16"/>
        <v>15</v>
      </c>
      <c r="J140" s="8">
        <f t="shared" si="17"/>
        <v>30</v>
      </c>
    </row>
    <row r="141" spans="1:10" x14ac:dyDescent="0.3">
      <c r="A141" s="3" t="s">
        <v>144</v>
      </c>
      <c r="B141" s="8" t="s">
        <v>3</v>
      </c>
      <c r="C141" s="6">
        <v>236</v>
      </c>
      <c r="D141" s="8">
        <v>310</v>
      </c>
      <c r="E141" s="9">
        <f t="shared" si="12"/>
        <v>0.3135593220338983</v>
      </c>
      <c r="F141" s="10">
        <f t="shared" si="13"/>
        <v>274.60000000000002</v>
      </c>
      <c r="G141" s="11">
        <f t="shared" si="14"/>
        <v>0.16355932203389831</v>
      </c>
      <c r="H141" s="12">
        <f t="shared" si="15"/>
        <v>35.399999999999977</v>
      </c>
      <c r="I141" s="12">
        <f t="shared" si="16"/>
        <v>38.600000000000023</v>
      </c>
      <c r="J141" s="8">
        <f t="shared" si="17"/>
        <v>74</v>
      </c>
    </row>
    <row r="142" spans="1:10" x14ac:dyDescent="0.3">
      <c r="A142" s="3" t="s">
        <v>145</v>
      </c>
      <c r="B142" s="8" t="s">
        <v>3</v>
      </c>
      <c r="C142" s="6">
        <v>235</v>
      </c>
      <c r="D142" s="8">
        <v>310</v>
      </c>
      <c r="E142" s="9">
        <f t="shared" si="12"/>
        <v>0.31914893617021278</v>
      </c>
      <c r="F142" s="10">
        <f t="shared" si="13"/>
        <v>274.75</v>
      </c>
      <c r="G142" s="11">
        <f t="shared" si="14"/>
        <v>0.16914893617021279</v>
      </c>
      <c r="H142" s="12">
        <f t="shared" si="15"/>
        <v>35.25</v>
      </c>
      <c r="I142" s="12">
        <f t="shared" si="16"/>
        <v>39.75</v>
      </c>
      <c r="J142" s="8">
        <f t="shared" si="17"/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dzuleta mazloeva</dc:creator>
  <cp:lastModifiedBy>User</cp:lastModifiedBy>
  <dcterms:created xsi:type="dcterms:W3CDTF">2025-07-28T10:16:36Z</dcterms:created>
  <dcterms:modified xsi:type="dcterms:W3CDTF">2025-07-28T14:33:08Z</dcterms:modified>
</cp:coreProperties>
</file>